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Tarifs" sheetId="2" state="visible" r:id="rId4"/>
    <sheet name="Achats" sheetId="3" state="visible" r:id="rId5"/>
    <sheet name="Seances" sheetId="4" state="visible" r:id="rId6"/>
    <sheet name="Reservations" sheetId="5" state="visible" r:id="rId7"/>
  </sheets>
  <definedNames>
    <definedName function="false" hidden="true" localSheetId="2" name="_xlnm._FilterDatabase" vbProcedure="false">Achats!$A$1:$M$301</definedName>
    <definedName function="false" hidden="true" localSheetId="4" name="_xlnm._FilterDatabase" vbProcedure="false">Reservations!$A$1:$K$301</definedName>
    <definedName function="false" hidden="true" localSheetId="3" name="_xlnm._FilterDatabase" vbProcedure="false">Seances!$A$1:$I$301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Nombre de places achetées dans la commande (quantité du panier).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6 places par défaut : le site indique « Séance de 6 personnes pour 2h ». Modifiable séance par séance.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Même n° que dans l'onglet Achats (le client le trouve dans son mail de confirmation).</t>
        </r>
      </text>
    </comment>
  </commentList>
</comments>
</file>

<file path=xl/sharedStrings.xml><?xml version="1.0" encoding="utf-8"?>
<sst xmlns="http://schemas.openxmlformats.org/spreadsheetml/2006/main" count="74" uniqueCount="60">
  <si>
    <t xml:space="preserve">Suivi des dégustations - ABC Terroirs</t>
  </si>
  <si>
    <t xml:space="preserve">Fonctionnement : le client achète une ou plusieurs places sur abcterroirs.com, puis choisit sa date par téléphone (02 55 54 79 80), par e-mail (abc3ladmirault@yahoo.com) ou par message.</t>
  </si>
  <si>
    <t xml:space="preserve">1. Achats : à chaque commande de dégustation reçue (mail PrestaShop), ajouter une ligne : date, n° de commande, client, téléphone, dégustation, nombre de places.</t>
  </si>
  <si>
    <t xml:space="preserve">   Le prix, le montant et le nombre de places encore à réserver se calculent seuls. Statut « À appeler » = le client n'a pas encore choisi sa date.</t>
  </si>
  <si>
    <t xml:space="preserve">2. Séances : créer une ligne par séance prévue (date, heure, dégustation, boutique). Les places restantes se calculent seules.</t>
  </si>
  <si>
    <t xml:space="preserve">3. Reservations : quand le client appelle, écrit ou envoie un message, noter son n° de commande, la date et l'heure de la séance, le nombre de places et le moyen utilisé (colonne K).</t>
  </si>
  <si>
    <t xml:space="preserve">   Le nom du client et la dégustation s'affichent automatiquement à partir du n° de commande. Si la séance n'existe pas encore dans « Séances », la colonne « Contrôle » le signale.</t>
  </si>
  <si>
    <t xml:space="preserve">   Le montant tient compte des remises sur volume du site (-10 % dès 4 places, -20 % dès 10 places).</t>
  </si>
  <si>
    <t xml:space="preserve">4. Tarifs : liste des dégustations vendues sur le site. Si un prix change sur le site, le changer ici aussi.</t>
  </si>
  <si>
    <t xml:space="preserve">Couleurs : cases jaunes (texte bleu) = à remplir ; cases crème = calculées automatiquement, ne pas y toucher.</t>
  </si>
  <si>
    <t xml:space="preserve">Les lignes « Exemple » peuvent être effacées (sélectionner les cases jaunes de la ligne puis Suppr).</t>
  </si>
  <si>
    <t xml:space="preserve">Client qui paie en boutique ou par téléphone : mettre « BOUTIQUE » ou « TEL » à la place du n° de commande, dans Achats et dans Réservations.</t>
  </si>
  <si>
    <t xml:space="preserve">Dégustation</t>
  </si>
  <si>
    <t xml:space="preserve">Prix par place (€)</t>
  </si>
  <si>
    <t xml:space="preserve">ID produit PrestaShop</t>
  </si>
  <si>
    <t xml:space="preserve">Initiation Whisky</t>
  </si>
  <si>
    <t xml:space="preserve">Initiation Rhum</t>
  </si>
  <si>
    <t xml:space="preserve">Initiation Gin</t>
  </si>
  <si>
    <t xml:space="preserve">Expert Whisky</t>
  </si>
  <si>
    <t xml:space="preserve">Expert Rhum</t>
  </si>
  <si>
    <t xml:space="preserve">Expert Gins</t>
  </si>
  <si>
    <t xml:space="preserve">Initiation Bières</t>
  </si>
  <si>
    <t xml:space="preserve">Expert Bières</t>
  </si>
  <si>
    <t xml:space="preserve">Prix relevés sur abcterroirs.com le 14/10/2026 (fiches produits). Capacité d'une séance : voir Seances, colonne E.</t>
  </si>
  <si>
    <t xml:space="preserve">Remises sur volume (affichées sur les fiches)</t>
  </si>
  <si>
    <t xml:space="preserve">À partir de (places)</t>
  </si>
  <si>
    <t xml:space="preserve">Remise</t>
  </si>
  <si>
    <t xml:space="preserve">Relevé sur la fiche « Initiation Whisky » le 14/10/2026 : 4 places = -10 %, 10 places = -20 %. Vérifier le montant réel dans la commande PrestaShop.</t>
  </si>
  <si>
    <t xml:space="preserve">Date d'achat</t>
  </si>
  <si>
    <t xml:space="preserve">N° de commande</t>
  </si>
  <si>
    <t xml:space="preserve">Client</t>
  </si>
  <si>
    <t xml:space="preserve">Téléphone</t>
  </si>
  <si>
    <t xml:space="preserve">E-mail</t>
  </si>
  <si>
    <t xml:space="preserve">Nb de places</t>
  </si>
  <si>
    <t xml:space="preserve">Prix par place</t>
  </si>
  <si>
    <t xml:space="preserve">Montant (remise incluse)</t>
  </si>
  <si>
    <t xml:space="preserve">Places déjà réservées</t>
  </si>
  <si>
    <t xml:space="preserve">Places à réserver</t>
  </si>
  <si>
    <t xml:space="preserve">Statut</t>
  </si>
  <si>
    <t xml:space="preserve">Remarques</t>
  </si>
  <si>
    <t xml:space="preserve">Exemple-1</t>
  </si>
  <si>
    <t xml:space="preserve">Exemple : M. Martin</t>
  </si>
  <si>
    <t xml:space="preserve">06 12 34 56 78</t>
  </si>
  <si>
    <t xml:space="preserve">martin@exemple.fr</t>
  </si>
  <si>
    <t xml:space="preserve">Ligne d'exemple, à effacer</t>
  </si>
  <si>
    <t xml:space="preserve">Date</t>
  </si>
  <si>
    <t xml:space="preserve">Heure</t>
  </si>
  <si>
    <t xml:space="preserve">Boutique</t>
  </si>
  <si>
    <t xml:space="preserve">Capacité</t>
  </si>
  <si>
    <t xml:space="preserve">Places réservées</t>
  </si>
  <si>
    <t xml:space="preserve">Places restantes</t>
  </si>
  <si>
    <t xml:space="preserve">État</t>
  </si>
  <si>
    <t xml:space="preserve">Animateur / remarques</t>
  </si>
  <si>
    <t xml:space="preserve">Spi &amp; Bi (Saint-Pierre)</t>
  </si>
  <si>
    <t xml:space="preserve">Date de la demande</t>
  </si>
  <si>
    <t xml:space="preserve">Date de la séance</t>
  </si>
  <si>
    <t xml:space="preserve">Pris par</t>
  </si>
  <si>
    <t xml:space="preserve">Contrôle</t>
  </si>
  <si>
    <t xml:space="preserve">Moyen de contact</t>
  </si>
  <si>
    <t xml:space="preserve">Axel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</si>
</sst>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"/>
    <numFmt numFmtId="166" formatCode="0%"/>
    <numFmt numFmtId="167" formatCode="dd/mm/yyyy"/>
    <numFmt numFmtId="168" formatCode="0"/>
    <numFmt numFmtId="169" formatCode="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5A2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4A5A2A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5A2A"/>
        <bgColor rgb="FF333300"/>
      </patternFill>
    </fill>
    <fill>
      <patternFill patternType="solid">
        <fgColor rgb="FFFFF6BF"/>
        <bgColor rgb="FFF6F1E4"/>
      </patternFill>
    </fill>
    <fill>
      <patternFill patternType="solid">
        <fgColor rgb="FFF6F1E4"/>
        <bgColor rgb="FFFFF6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8B0"/>
      </left>
      <right style="thin">
        <color rgb="FFD0C8B0"/>
      </right>
      <top style="thin">
        <color rgb="FFD0C8B0"/>
      </top>
      <bottom style="thin">
        <color rgb="FFD0C8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4A5A2A"/>
          <bgColor rgb="FF000000"/>
        </patternFill>
      </fill>
    </dxf>
    <dxf>
      <fill>
        <patternFill patternType="solid">
          <fgColor rgb="FFD8E8C8"/>
          <bgColor rgb="FF000000"/>
        </patternFill>
      </fill>
    </dxf>
    <dxf>
      <fill>
        <patternFill patternType="solid">
          <fgColor rgb="FFFFF6B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F1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BD9C9"/>
        </patternFill>
      </fill>
    </dxf>
    <dxf>
      <fill>
        <patternFill>
          <bgColor rgb="FFD8E8C8"/>
        </patternFill>
      </fill>
    </dxf>
    <dxf>
      <fill>
        <patternFill>
          <bgColor rgb="FFF4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8B0"/>
      <rgbColor rgb="FF808080"/>
      <rgbColor rgb="FF9999FF"/>
      <rgbColor rgb="FF993366"/>
      <rgbColor rgb="FFFFF6BF"/>
      <rgbColor rgb="FFF6F1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8C8"/>
      <rgbColor rgb="FFFFFF99"/>
      <rgbColor rgb="FF99CCFF"/>
      <rgbColor rgb="FFF4A6A6"/>
      <rgbColor rgb="FFCC99FF"/>
      <rgbColor rgb="FFFBD9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5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33.75" hidden="false" customHeight="true" outlineLevel="0" collapsed="false">
      <c r="A1" s="3" t="s">
        <v>12</v>
      </c>
      <c r="B1" s="3" t="s">
        <v>13</v>
      </c>
      <c r="C1" s="3" t="s">
        <v>14</v>
      </c>
    </row>
    <row r="2" customFormat="false" ht="15" hidden="false" customHeight="false" outlineLevel="0" collapsed="false">
      <c r="A2" s="4" t="s">
        <v>15</v>
      </c>
      <c r="B2" s="5" t="n">
        <v>39.5</v>
      </c>
      <c r="C2" s="4" t="n">
        <v>372</v>
      </c>
    </row>
    <row r="3" customFormat="false" ht="15" hidden="false" customHeight="false" outlineLevel="0" collapsed="false">
      <c r="A3" s="4" t="s">
        <v>16</v>
      </c>
      <c r="B3" s="5" t="n">
        <v>39.5</v>
      </c>
      <c r="C3" s="4" t="n">
        <v>373</v>
      </c>
    </row>
    <row r="4" customFormat="false" ht="15" hidden="false" customHeight="false" outlineLevel="0" collapsed="false">
      <c r="A4" s="4" t="s">
        <v>17</v>
      </c>
      <c r="B4" s="5" t="n">
        <v>39.5</v>
      </c>
      <c r="C4" s="4" t="n">
        <v>374</v>
      </c>
    </row>
    <row r="5" customFormat="false" ht="15" hidden="false" customHeight="false" outlineLevel="0" collapsed="false">
      <c r="A5" s="4" t="s">
        <v>18</v>
      </c>
      <c r="B5" s="5" t="n">
        <v>59.5</v>
      </c>
      <c r="C5" s="4" t="n">
        <v>582</v>
      </c>
    </row>
    <row r="6" customFormat="false" ht="15" hidden="false" customHeight="false" outlineLevel="0" collapsed="false">
      <c r="A6" s="4" t="s">
        <v>19</v>
      </c>
      <c r="B6" s="5" t="n">
        <v>59.5</v>
      </c>
      <c r="C6" s="4" t="n">
        <v>583</v>
      </c>
    </row>
    <row r="7" customFormat="false" ht="15" hidden="false" customHeight="false" outlineLevel="0" collapsed="false">
      <c r="A7" s="4" t="s">
        <v>20</v>
      </c>
      <c r="B7" s="5" t="n">
        <v>59.5</v>
      </c>
      <c r="C7" s="4" t="n">
        <v>584</v>
      </c>
    </row>
    <row r="8" customFormat="false" ht="15" hidden="false" customHeight="false" outlineLevel="0" collapsed="false">
      <c r="A8" s="4" t="s">
        <v>21</v>
      </c>
      <c r="B8" s="5" t="n">
        <v>29.5</v>
      </c>
      <c r="C8" s="4" t="n">
        <v>585</v>
      </c>
    </row>
    <row r="9" customFormat="false" ht="15" hidden="false" customHeight="false" outlineLevel="0" collapsed="false">
      <c r="A9" s="4" t="s">
        <v>22</v>
      </c>
      <c r="B9" s="5" t="n">
        <v>39.5</v>
      </c>
      <c r="C9" s="4" t="n">
        <v>586</v>
      </c>
    </row>
    <row r="12" customFormat="false" ht="15" hidden="false" customHeight="false" outlineLevel="0" collapsed="false">
      <c r="A12" s="6" t="s">
        <v>23</v>
      </c>
    </row>
    <row r="14" customFormat="false" ht="15" hidden="false" customHeight="false" outlineLevel="0" collapsed="false">
      <c r="A14" s="7" t="s">
        <v>24</v>
      </c>
    </row>
    <row r="15" customFormat="false" ht="15" hidden="false" customHeight="false" outlineLevel="0" collapsed="false">
      <c r="A15" s="8" t="s">
        <v>25</v>
      </c>
      <c r="B15" s="8" t="s">
        <v>26</v>
      </c>
    </row>
    <row r="16" customFormat="false" ht="15" hidden="false" customHeight="false" outlineLevel="0" collapsed="false">
      <c r="A16" s="4" t="n">
        <v>4</v>
      </c>
      <c r="B16" s="9" t="n">
        <v>0.1</v>
      </c>
    </row>
    <row r="17" customFormat="false" ht="15" hidden="false" customHeight="false" outlineLevel="0" collapsed="false">
      <c r="A17" s="4" t="n">
        <v>10</v>
      </c>
      <c r="B17" s="9" t="n">
        <v>0.2</v>
      </c>
    </row>
    <row r="18" customFormat="false" ht="15" hidden="false" customHeight="false" outlineLevel="0" collapsed="false">
      <c r="A18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11" min="8" style="0" width="11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33.75" hidden="false" customHeight="true" outlineLevel="0" collapsed="false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12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customFormat="false" ht="15" hidden="false" customHeight="false" outlineLevel="0" collapsed="false">
      <c r="A2" s="10" t="n">
        <v>46309</v>
      </c>
      <c r="B2" s="11" t="s">
        <v>40</v>
      </c>
      <c r="C2" s="11" t="s">
        <v>41</v>
      </c>
      <c r="D2" s="11" t="s">
        <v>42</v>
      </c>
      <c r="E2" s="11" t="s">
        <v>43</v>
      </c>
      <c r="F2" s="11" t="s">
        <v>15</v>
      </c>
      <c r="G2" s="12" t="n">
        <v>2</v>
      </c>
      <c r="H2" s="13" t="n">
        <f aca="false">IF(F2="","",IFERROR(INDEX(Tarifs!$B$2:$B$9,MATCH(F2,Tarifs!$A$2:$A$9,0)),""))</f>
        <v>39.5</v>
      </c>
      <c r="I2" s="13" t="n">
        <f aca="false">IF(OR(G2="",H2=""),"",G2*H2*(1-IF(G2&gt;=Tarifs!$A$17,Tarifs!$B$17,IF(G2&gt;=Tarifs!$A$16,Tarifs!$B$16,0))))</f>
        <v>79</v>
      </c>
      <c r="J2" s="14" t="n">
        <f aca="false">IF(B2="","",SUMIFS(Reservations!$G:$G,Reservations!$B:$B,B2))</f>
        <v>2</v>
      </c>
      <c r="K2" s="14" t="n">
        <f aca="false">IF(OR(B2="",G2=""),"",G2-J2)</f>
        <v>0</v>
      </c>
      <c r="L2" s="15" t="str">
        <f aca="false">IF(K2="","",IF(K2&gt;0,"À appeler",IF(K2=0,"Réservé","Trop réservé")))</f>
        <v>Réservé</v>
      </c>
      <c r="M2" s="11" t="s">
        <v>44</v>
      </c>
    </row>
    <row r="3" customFormat="false" ht="15" hidden="false" customHeight="false" outlineLevel="0" collapsed="false">
      <c r="A3" s="10"/>
      <c r="B3" s="11"/>
      <c r="C3" s="11"/>
      <c r="D3" s="11"/>
      <c r="E3" s="11"/>
      <c r="F3" s="11"/>
      <c r="G3" s="12"/>
      <c r="H3" s="13" t="str">
        <f aca="false">IF(F3="","",IFERROR(INDEX(Tarifs!$B$2:$B$9,MATCH(F3,Tarifs!$A$2:$A$9,0)),""))</f>
        <v/>
      </c>
      <c r="I3" s="13" t="str">
        <f aca="false">IF(OR(G3="",H3=""),"",G3*H3*(1-IF(G3&gt;=Tarifs!$A$17,Tarifs!$B$17,IF(G3&gt;=Tarifs!$A$16,Tarifs!$B$16,0))))</f>
        <v/>
      </c>
      <c r="J3" s="14" t="str">
        <f aca="false">IF(B3="","",SUMIFS(Reservations!$G:$G,Reservations!$B:$B,B3))</f>
        <v/>
      </c>
      <c r="K3" s="14" t="str">
        <f aca="false">IF(OR(B3="",G3=""),"",G3-J3)</f>
        <v/>
      </c>
      <c r="L3" s="15" t="str">
        <f aca="false">IF(K3="","",IF(K3&gt;0,"À appeler",IF(K3=0,"Réservé","Trop réservé")))</f>
        <v/>
      </c>
      <c r="M3" s="11"/>
    </row>
    <row r="4" customFormat="false" ht="15" hidden="false" customHeight="false" outlineLevel="0" collapsed="false">
      <c r="A4" s="10"/>
      <c r="B4" s="11"/>
      <c r="C4" s="11"/>
      <c r="D4" s="11"/>
      <c r="E4" s="11"/>
      <c r="F4" s="11"/>
      <c r="G4" s="12"/>
      <c r="H4" s="13" t="str">
        <f aca="false">IF(F4="","",IFERROR(INDEX(Tarifs!$B$2:$B$9,MATCH(F4,Tarifs!$A$2:$A$9,0)),""))</f>
        <v/>
      </c>
      <c r="I4" s="13" t="str">
        <f aca="false">IF(OR(G4="",H4=""),"",G4*H4*(1-IF(G4&gt;=Tarifs!$A$17,Tarifs!$B$17,IF(G4&gt;=Tarifs!$A$16,Tarifs!$B$16,0))))</f>
        <v/>
      </c>
      <c r="J4" s="14" t="str">
        <f aca="false">IF(B4="","",SUMIFS(Reservations!$G:$G,Reservations!$B:$B,B4))</f>
        <v/>
      </c>
      <c r="K4" s="14" t="str">
        <f aca="false">IF(OR(B4="",G4=""),"",G4-J4)</f>
        <v/>
      </c>
      <c r="L4" s="15" t="str">
        <f aca="false">IF(K4="","",IF(K4&gt;0,"À appeler",IF(K4=0,"Réservé","Trop réservé")))</f>
        <v/>
      </c>
      <c r="M4" s="11"/>
    </row>
    <row r="5" customFormat="false" ht="15" hidden="false" customHeight="false" outlineLevel="0" collapsed="false">
      <c r="A5" s="10"/>
      <c r="B5" s="11"/>
      <c r="C5" s="11"/>
      <c r="D5" s="11"/>
      <c r="E5" s="11"/>
      <c r="F5" s="11"/>
      <c r="G5" s="12"/>
      <c r="H5" s="13" t="str">
        <f aca="false">IF(F5="","",IFERROR(INDEX(Tarifs!$B$2:$B$9,MATCH(F5,Tarifs!$A$2:$A$9,0)),""))</f>
        <v/>
      </c>
      <c r="I5" s="13" t="str">
        <f aca="false">IF(OR(G5="",H5=""),"",G5*H5*(1-IF(G5&gt;=Tarifs!$A$17,Tarifs!$B$17,IF(G5&gt;=Tarifs!$A$16,Tarifs!$B$16,0))))</f>
        <v/>
      </c>
      <c r="J5" s="14" t="str">
        <f aca="false">IF(B5="","",SUMIFS(Reservations!$G:$G,Reservations!$B:$B,B5))</f>
        <v/>
      </c>
      <c r="K5" s="14" t="str">
        <f aca="false">IF(OR(B5="",G5=""),"",G5-J5)</f>
        <v/>
      </c>
      <c r="L5" s="15" t="str">
        <f aca="false">IF(K5="","",IF(K5&gt;0,"À appeler",IF(K5=0,"Réservé","Trop réservé")))</f>
        <v/>
      </c>
      <c r="M5" s="11"/>
    </row>
    <row r="6" customFormat="false" ht="15" hidden="false" customHeight="false" outlineLevel="0" collapsed="false">
      <c r="A6" s="10"/>
      <c r="B6" s="11"/>
      <c r="C6" s="11"/>
      <c r="D6" s="11"/>
      <c r="E6" s="11"/>
      <c r="F6" s="11"/>
      <c r="G6" s="12"/>
      <c r="H6" s="13" t="str">
        <f aca="false">IF(F6="","",IFERROR(INDEX(Tarifs!$B$2:$B$9,MATCH(F6,Tarifs!$A$2:$A$9,0)),""))</f>
        <v/>
      </c>
      <c r="I6" s="13" t="str">
        <f aca="false">IF(OR(G6="",H6=""),"",G6*H6*(1-IF(G6&gt;=Tarifs!$A$17,Tarifs!$B$17,IF(G6&gt;=Tarifs!$A$16,Tarifs!$B$16,0))))</f>
        <v/>
      </c>
      <c r="J6" s="14" t="str">
        <f aca="false">IF(B6="","",SUMIFS(Reservations!$G:$G,Reservations!$B:$B,B6))</f>
        <v/>
      </c>
      <c r="K6" s="14" t="str">
        <f aca="false">IF(OR(B6="",G6=""),"",G6-J6)</f>
        <v/>
      </c>
      <c r="L6" s="15" t="str">
        <f aca="false">IF(K6="","",IF(K6&gt;0,"À appeler",IF(K6=0,"Réservé","Trop réservé")))</f>
        <v/>
      </c>
      <c r="M6" s="11"/>
    </row>
    <row r="7" customFormat="false" ht="15" hidden="false" customHeight="false" outlineLevel="0" collapsed="false">
      <c r="A7" s="10"/>
      <c r="B7" s="11"/>
      <c r="C7" s="11"/>
      <c r="D7" s="11"/>
      <c r="E7" s="11"/>
      <c r="F7" s="11"/>
      <c r="G7" s="12"/>
      <c r="H7" s="13" t="str">
        <f aca="false">IF(F7="","",IFERROR(INDEX(Tarifs!$B$2:$B$9,MATCH(F7,Tarifs!$A$2:$A$9,0)),""))</f>
        <v/>
      </c>
      <c r="I7" s="13" t="str">
        <f aca="false">IF(OR(G7="",H7=""),"",G7*H7*(1-IF(G7&gt;=Tarifs!$A$17,Tarifs!$B$17,IF(G7&gt;=Tarifs!$A$16,Tarifs!$B$16,0))))</f>
        <v/>
      </c>
      <c r="J7" s="14" t="str">
        <f aca="false">IF(B7="","",SUMIFS(Reservations!$G:$G,Reservations!$B:$B,B7))</f>
        <v/>
      </c>
      <c r="K7" s="14" t="str">
        <f aca="false">IF(OR(B7="",G7=""),"",G7-J7)</f>
        <v/>
      </c>
      <c r="L7" s="15" t="str">
        <f aca="false">IF(K7="","",IF(K7&gt;0,"À appeler",IF(K7=0,"Réservé","Trop réservé")))</f>
        <v/>
      </c>
      <c r="M7" s="11"/>
    </row>
    <row r="8" customFormat="false" ht="15" hidden="false" customHeight="false" outlineLevel="0" collapsed="false">
      <c r="A8" s="10"/>
      <c r="B8" s="11"/>
      <c r="C8" s="11"/>
      <c r="D8" s="11"/>
      <c r="E8" s="11"/>
      <c r="F8" s="11"/>
      <c r="G8" s="12"/>
      <c r="H8" s="13" t="str">
        <f aca="false">IF(F8="","",IFERROR(INDEX(Tarifs!$B$2:$B$9,MATCH(F8,Tarifs!$A$2:$A$9,0)),""))</f>
        <v/>
      </c>
      <c r="I8" s="13" t="str">
        <f aca="false">IF(OR(G8="",H8=""),"",G8*H8*(1-IF(G8&gt;=Tarifs!$A$17,Tarifs!$B$17,IF(G8&gt;=Tarifs!$A$16,Tarifs!$B$16,0))))</f>
        <v/>
      </c>
      <c r="J8" s="14" t="str">
        <f aca="false">IF(B8="","",SUMIFS(Reservations!$G:$G,Reservations!$B:$B,B8))</f>
        <v/>
      </c>
      <c r="K8" s="14" t="str">
        <f aca="false">IF(OR(B8="",G8=""),"",G8-J8)</f>
        <v/>
      </c>
      <c r="L8" s="15" t="str">
        <f aca="false">IF(K8="","",IF(K8&gt;0,"À appeler",IF(K8=0,"Réservé","Trop réservé")))</f>
        <v/>
      </c>
      <c r="M8" s="11"/>
    </row>
    <row r="9" customFormat="false" ht="15" hidden="false" customHeight="false" outlineLevel="0" collapsed="false">
      <c r="A9" s="10"/>
      <c r="B9" s="11"/>
      <c r="C9" s="11"/>
      <c r="D9" s="11"/>
      <c r="E9" s="11"/>
      <c r="F9" s="11"/>
      <c r="G9" s="12"/>
      <c r="H9" s="13" t="str">
        <f aca="false">IF(F9="","",IFERROR(INDEX(Tarifs!$B$2:$B$9,MATCH(F9,Tarifs!$A$2:$A$9,0)),""))</f>
        <v/>
      </c>
      <c r="I9" s="13" t="str">
        <f aca="false">IF(OR(G9="",H9=""),"",G9*H9*(1-IF(G9&gt;=Tarifs!$A$17,Tarifs!$B$17,IF(G9&gt;=Tarifs!$A$16,Tarifs!$B$16,0))))</f>
        <v/>
      </c>
      <c r="J9" s="14" t="str">
        <f aca="false">IF(B9="","",SUMIFS(Reservations!$G:$G,Reservations!$B:$B,B9))</f>
        <v/>
      </c>
      <c r="K9" s="14" t="str">
        <f aca="false">IF(OR(B9="",G9=""),"",G9-J9)</f>
        <v/>
      </c>
      <c r="L9" s="15" t="str">
        <f aca="false">IF(K9="","",IF(K9&gt;0,"À appeler",IF(K9=0,"Réservé","Trop réservé")))</f>
        <v/>
      </c>
      <c r="M9" s="11"/>
    </row>
    <row r="10" customFormat="false" ht="15" hidden="false" customHeight="false" outlineLevel="0" collapsed="false">
      <c r="A10" s="10"/>
      <c r="B10" s="11"/>
      <c r="C10" s="11"/>
      <c r="D10" s="11"/>
      <c r="E10" s="11"/>
      <c r="F10" s="11"/>
      <c r="G10" s="12"/>
      <c r="H10" s="13" t="str">
        <f aca="false">IF(F10="","",IFERROR(INDEX(Tarifs!$B$2:$B$9,MATCH(F10,Tarifs!$A$2:$A$9,0)),""))</f>
        <v/>
      </c>
      <c r="I10" s="13" t="str">
        <f aca="false">IF(OR(G10="",H10=""),"",G10*H10*(1-IF(G10&gt;=Tarifs!$A$17,Tarifs!$B$17,IF(G10&gt;=Tarifs!$A$16,Tarifs!$B$16,0))))</f>
        <v/>
      </c>
      <c r="J10" s="14" t="str">
        <f aca="false">IF(B10="","",SUMIFS(Reservations!$G:$G,Reservations!$B:$B,B10))</f>
        <v/>
      </c>
      <c r="K10" s="14" t="str">
        <f aca="false">IF(OR(B10="",G10=""),"",G10-J10)</f>
        <v/>
      </c>
      <c r="L10" s="15" t="str">
        <f aca="false">IF(K10="","",IF(K10&gt;0,"À appeler",IF(K10=0,"Réservé","Trop réservé")))</f>
        <v/>
      </c>
      <c r="M10" s="11"/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1"/>
      <c r="G11" s="12"/>
      <c r="H11" s="13" t="str">
        <f aca="false">IF(F11="","",IFERROR(INDEX(Tarifs!$B$2:$B$9,MATCH(F11,Tarifs!$A$2:$A$9,0)),""))</f>
        <v/>
      </c>
      <c r="I11" s="13" t="str">
        <f aca="false">IF(OR(G11="",H11=""),"",G11*H11*(1-IF(G11&gt;=Tarifs!$A$17,Tarifs!$B$17,IF(G11&gt;=Tarifs!$A$16,Tarifs!$B$16,0))))</f>
        <v/>
      </c>
      <c r="J11" s="14" t="str">
        <f aca="false">IF(B11="","",SUMIFS(Reservations!$G:$G,Reservations!$B:$B,B11))</f>
        <v/>
      </c>
      <c r="K11" s="14" t="str">
        <f aca="false">IF(OR(B11="",G11=""),"",G11-J11)</f>
        <v/>
      </c>
      <c r="L11" s="15" t="str">
        <f aca="false">IF(K11="","",IF(K11&gt;0,"À appeler",IF(K11=0,"Réservé","Trop réservé")))</f>
        <v/>
      </c>
      <c r="M11" s="11"/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1"/>
      <c r="G12" s="12"/>
      <c r="H12" s="13" t="str">
        <f aca="false">IF(F12="","",IFERROR(INDEX(Tarifs!$B$2:$B$9,MATCH(F12,Tarifs!$A$2:$A$9,0)),""))</f>
        <v/>
      </c>
      <c r="I12" s="13" t="str">
        <f aca="false">IF(OR(G12="",H12=""),"",G12*H12*(1-IF(G12&gt;=Tarifs!$A$17,Tarifs!$B$17,IF(G12&gt;=Tarifs!$A$16,Tarifs!$B$16,0))))</f>
        <v/>
      </c>
      <c r="J12" s="14" t="str">
        <f aca="false">IF(B12="","",SUMIFS(Reservations!$G:$G,Reservations!$B:$B,B12))</f>
        <v/>
      </c>
      <c r="K12" s="14" t="str">
        <f aca="false">IF(OR(B12="",G12=""),"",G12-J12)</f>
        <v/>
      </c>
      <c r="L12" s="15" t="str">
        <f aca="false">IF(K12="","",IF(K12&gt;0,"À appeler",IF(K12=0,"Réservé","Trop réservé")))</f>
        <v/>
      </c>
      <c r="M12" s="11"/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  <c r="G13" s="12"/>
      <c r="H13" s="13" t="str">
        <f aca="false">IF(F13="","",IFERROR(INDEX(Tarifs!$B$2:$B$9,MATCH(F13,Tarifs!$A$2:$A$9,0)),""))</f>
        <v/>
      </c>
      <c r="I13" s="13" t="str">
        <f aca="false">IF(OR(G13="",H13=""),"",G13*H13*(1-IF(G13&gt;=Tarifs!$A$17,Tarifs!$B$17,IF(G13&gt;=Tarifs!$A$16,Tarifs!$B$16,0))))</f>
        <v/>
      </c>
      <c r="J13" s="14" t="str">
        <f aca="false">IF(B13="","",SUMIFS(Reservations!$G:$G,Reservations!$B:$B,B13))</f>
        <v/>
      </c>
      <c r="K13" s="14" t="str">
        <f aca="false">IF(OR(B13="",G13=""),"",G13-J13)</f>
        <v/>
      </c>
      <c r="L13" s="15" t="str">
        <f aca="false">IF(K13="","",IF(K13&gt;0,"À appeler",IF(K13=0,"Réservé","Trop réservé")))</f>
        <v/>
      </c>
      <c r="M13" s="11"/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1"/>
      <c r="G14" s="12"/>
      <c r="H14" s="13" t="str">
        <f aca="false">IF(F14="","",IFERROR(INDEX(Tarifs!$B$2:$B$9,MATCH(F14,Tarifs!$A$2:$A$9,0)),""))</f>
        <v/>
      </c>
      <c r="I14" s="13" t="str">
        <f aca="false">IF(OR(G14="",H14=""),"",G14*H14*(1-IF(G14&gt;=Tarifs!$A$17,Tarifs!$B$17,IF(G14&gt;=Tarifs!$A$16,Tarifs!$B$16,0))))</f>
        <v/>
      </c>
      <c r="J14" s="14" t="str">
        <f aca="false">IF(B14="","",SUMIFS(Reservations!$G:$G,Reservations!$B:$B,B14))</f>
        <v/>
      </c>
      <c r="K14" s="14" t="str">
        <f aca="false">IF(OR(B14="",G14=""),"",G14-J14)</f>
        <v/>
      </c>
      <c r="L14" s="15" t="str">
        <f aca="false">IF(K14="","",IF(K14&gt;0,"À appeler",IF(K14=0,"Réservé","Trop réservé")))</f>
        <v/>
      </c>
      <c r="M14" s="11"/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  <c r="G15" s="12"/>
      <c r="H15" s="13" t="str">
        <f aca="false">IF(F15="","",IFERROR(INDEX(Tarifs!$B$2:$B$9,MATCH(F15,Tarifs!$A$2:$A$9,0)),""))</f>
        <v/>
      </c>
      <c r="I15" s="13" t="str">
        <f aca="false">IF(OR(G15="",H15=""),"",G15*H15*(1-IF(G15&gt;=Tarifs!$A$17,Tarifs!$B$17,IF(G15&gt;=Tarifs!$A$16,Tarifs!$B$16,0))))</f>
        <v/>
      </c>
      <c r="J15" s="14" t="str">
        <f aca="false">IF(B15="","",SUMIFS(Reservations!$G:$G,Reservations!$B:$B,B15))</f>
        <v/>
      </c>
      <c r="K15" s="14" t="str">
        <f aca="false">IF(OR(B15="",G15=""),"",G15-J15)</f>
        <v/>
      </c>
      <c r="L15" s="15" t="str">
        <f aca="false">IF(K15="","",IF(K15&gt;0,"À appeler",IF(K15=0,"Réservé","Trop réservé")))</f>
        <v/>
      </c>
      <c r="M15" s="11"/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1"/>
      <c r="G16" s="12"/>
      <c r="H16" s="13" t="str">
        <f aca="false">IF(F16="","",IFERROR(INDEX(Tarifs!$B$2:$B$9,MATCH(F16,Tarifs!$A$2:$A$9,0)),""))</f>
        <v/>
      </c>
      <c r="I16" s="13" t="str">
        <f aca="false">IF(OR(G16="",H16=""),"",G16*H16*(1-IF(G16&gt;=Tarifs!$A$17,Tarifs!$B$17,IF(G16&gt;=Tarifs!$A$16,Tarifs!$B$16,0))))</f>
        <v/>
      </c>
      <c r="J16" s="14" t="str">
        <f aca="false">IF(B16="","",SUMIFS(Reservations!$G:$G,Reservations!$B:$B,B16))</f>
        <v/>
      </c>
      <c r="K16" s="14" t="str">
        <f aca="false">IF(OR(B16="",G16=""),"",G16-J16)</f>
        <v/>
      </c>
      <c r="L16" s="15" t="str">
        <f aca="false">IF(K16="","",IF(K16&gt;0,"À appeler",IF(K16=0,"Réservé","Trop réservé")))</f>
        <v/>
      </c>
      <c r="M16" s="11"/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1"/>
      <c r="G17" s="12"/>
      <c r="H17" s="13" t="str">
        <f aca="false">IF(F17="","",IFERROR(INDEX(Tarifs!$B$2:$B$9,MATCH(F17,Tarifs!$A$2:$A$9,0)),""))</f>
        <v/>
      </c>
      <c r="I17" s="13" t="str">
        <f aca="false">IF(OR(G17="",H17=""),"",G17*H17*(1-IF(G17&gt;=Tarifs!$A$17,Tarifs!$B$17,IF(G17&gt;=Tarifs!$A$16,Tarifs!$B$16,0))))</f>
        <v/>
      </c>
      <c r="J17" s="14" t="str">
        <f aca="false">IF(B17="","",SUMIFS(Reservations!$G:$G,Reservations!$B:$B,B17))</f>
        <v/>
      </c>
      <c r="K17" s="14" t="str">
        <f aca="false">IF(OR(B17="",G17=""),"",G17-J17)</f>
        <v/>
      </c>
      <c r="L17" s="15" t="str">
        <f aca="false">IF(K17="","",IF(K17&gt;0,"À appeler",IF(K17=0,"Réservé","Trop réservé")))</f>
        <v/>
      </c>
      <c r="M17" s="11"/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1"/>
      <c r="G18" s="12"/>
      <c r="H18" s="13" t="str">
        <f aca="false">IF(F18="","",IFERROR(INDEX(Tarifs!$B$2:$B$9,MATCH(F18,Tarifs!$A$2:$A$9,0)),""))</f>
        <v/>
      </c>
      <c r="I18" s="13" t="str">
        <f aca="false">IF(OR(G18="",H18=""),"",G18*H18*(1-IF(G18&gt;=Tarifs!$A$17,Tarifs!$B$17,IF(G18&gt;=Tarifs!$A$16,Tarifs!$B$16,0))))</f>
        <v/>
      </c>
      <c r="J18" s="14" t="str">
        <f aca="false">IF(B18="","",SUMIFS(Reservations!$G:$G,Reservations!$B:$B,B18))</f>
        <v/>
      </c>
      <c r="K18" s="14" t="str">
        <f aca="false">IF(OR(B18="",G18=""),"",G18-J18)</f>
        <v/>
      </c>
      <c r="L18" s="15" t="str">
        <f aca="false">IF(K18="","",IF(K18&gt;0,"À appeler",IF(K18=0,"Réservé","Trop réservé")))</f>
        <v/>
      </c>
      <c r="M18" s="11"/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1"/>
      <c r="G19" s="12"/>
      <c r="H19" s="13" t="str">
        <f aca="false">IF(F19="","",IFERROR(INDEX(Tarifs!$B$2:$B$9,MATCH(F19,Tarifs!$A$2:$A$9,0)),""))</f>
        <v/>
      </c>
      <c r="I19" s="13" t="str">
        <f aca="false">IF(OR(G19="",H19=""),"",G19*H19*(1-IF(G19&gt;=Tarifs!$A$17,Tarifs!$B$17,IF(G19&gt;=Tarifs!$A$16,Tarifs!$B$16,0))))</f>
        <v/>
      </c>
      <c r="J19" s="14" t="str">
        <f aca="false">IF(B19="","",SUMIFS(Reservations!$G:$G,Reservations!$B:$B,B19))</f>
        <v/>
      </c>
      <c r="K19" s="14" t="str">
        <f aca="false">IF(OR(B19="",G19=""),"",G19-J19)</f>
        <v/>
      </c>
      <c r="L19" s="15" t="str">
        <f aca="false">IF(K19="","",IF(K19&gt;0,"À appeler",IF(K19=0,"Réservé","Trop réservé")))</f>
        <v/>
      </c>
      <c r="M19" s="11"/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  <c r="G20" s="12"/>
      <c r="H20" s="13" t="str">
        <f aca="false">IF(F20="","",IFERROR(INDEX(Tarifs!$B$2:$B$9,MATCH(F20,Tarifs!$A$2:$A$9,0)),""))</f>
        <v/>
      </c>
      <c r="I20" s="13" t="str">
        <f aca="false">IF(OR(G20="",H20=""),"",G20*H20*(1-IF(G20&gt;=Tarifs!$A$17,Tarifs!$B$17,IF(G20&gt;=Tarifs!$A$16,Tarifs!$B$16,0))))</f>
        <v/>
      </c>
      <c r="J20" s="14" t="str">
        <f aca="false">IF(B20="","",SUMIFS(Reservations!$G:$G,Reservations!$B:$B,B20))</f>
        <v/>
      </c>
      <c r="K20" s="14" t="str">
        <f aca="false">IF(OR(B20="",G20=""),"",G20-J20)</f>
        <v/>
      </c>
      <c r="L20" s="15" t="str">
        <f aca="false">IF(K20="","",IF(K20&gt;0,"À appeler",IF(K20=0,"Réservé","Trop réservé")))</f>
        <v/>
      </c>
      <c r="M20" s="11"/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1"/>
      <c r="G21" s="12"/>
      <c r="H21" s="13" t="str">
        <f aca="false">IF(F21="","",IFERROR(INDEX(Tarifs!$B$2:$B$9,MATCH(F21,Tarifs!$A$2:$A$9,0)),""))</f>
        <v/>
      </c>
      <c r="I21" s="13" t="str">
        <f aca="false">IF(OR(G21="",H21=""),"",G21*H21*(1-IF(G21&gt;=Tarifs!$A$17,Tarifs!$B$17,IF(G21&gt;=Tarifs!$A$16,Tarifs!$B$16,0))))</f>
        <v/>
      </c>
      <c r="J21" s="14" t="str">
        <f aca="false">IF(B21="","",SUMIFS(Reservations!$G:$G,Reservations!$B:$B,B21))</f>
        <v/>
      </c>
      <c r="K21" s="14" t="str">
        <f aca="false">IF(OR(B21="",G21=""),"",G21-J21)</f>
        <v/>
      </c>
      <c r="L21" s="15" t="str">
        <f aca="false">IF(K21="","",IF(K21&gt;0,"À appeler",IF(K21=0,"Réservé","Trop réservé")))</f>
        <v/>
      </c>
      <c r="M21" s="11"/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1"/>
      <c r="G22" s="12"/>
      <c r="H22" s="13" t="str">
        <f aca="false">IF(F22="","",IFERROR(INDEX(Tarifs!$B$2:$B$9,MATCH(F22,Tarifs!$A$2:$A$9,0)),""))</f>
        <v/>
      </c>
      <c r="I22" s="13" t="str">
        <f aca="false">IF(OR(G22="",H22=""),"",G22*H22*(1-IF(G22&gt;=Tarifs!$A$17,Tarifs!$B$17,IF(G22&gt;=Tarifs!$A$16,Tarifs!$B$16,0))))</f>
        <v/>
      </c>
      <c r="J22" s="14" t="str">
        <f aca="false">IF(B22="","",SUMIFS(Reservations!$G:$G,Reservations!$B:$B,B22))</f>
        <v/>
      </c>
      <c r="K22" s="14" t="str">
        <f aca="false">IF(OR(B22="",G22=""),"",G22-J22)</f>
        <v/>
      </c>
      <c r="L22" s="15" t="str">
        <f aca="false">IF(K22="","",IF(K22&gt;0,"À appeler",IF(K22=0,"Réservé","Trop réservé")))</f>
        <v/>
      </c>
      <c r="M22" s="11"/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1"/>
      <c r="G23" s="12"/>
      <c r="H23" s="13" t="str">
        <f aca="false">IF(F23="","",IFERROR(INDEX(Tarifs!$B$2:$B$9,MATCH(F23,Tarifs!$A$2:$A$9,0)),""))</f>
        <v/>
      </c>
      <c r="I23" s="13" t="str">
        <f aca="false">IF(OR(G23="",H23=""),"",G23*H23*(1-IF(G23&gt;=Tarifs!$A$17,Tarifs!$B$17,IF(G23&gt;=Tarifs!$A$16,Tarifs!$B$16,0))))</f>
        <v/>
      </c>
      <c r="J23" s="14" t="str">
        <f aca="false">IF(B23="","",SUMIFS(Reservations!$G:$G,Reservations!$B:$B,B23))</f>
        <v/>
      </c>
      <c r="K23" s="14" t="str">
        <f aca="false">IF(OR(B23="",G23=""),"",G23-J23)</f>
        <v/>
      </c>
      <c r="L23" s="15" t="str">
        <f aca="false">IF(K23="","",IF(K23&gt;0,"À appeler",IF(K23=0,"Réservé","Trop réservé")))</f>
        <v/>
      </c>
      <c r="M23" s="11"/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1"/>
      <c r="G24" s="12"/>
      <c r="H24" s="13" t="str">
        <f aca="false">IF(F24="","",IFERROR(INDEX(Tarifs!$B$2:$B$9,MATCH(F24,Tarifs!$A$2:$A$9,0)),""))</f>
        <v/>
      </c>
      <c r="I24" s="13" t="str">
        <f aca="false">IF(OR(G24="",H24=""),"",G24*H24*(1-IF(G24&gt;=Tarifs!$A$17,Tarifs!$B$17,IF(G24&gt;=Tarifs!$A$16,Tarifs!$B$16,0))))</f>
        <v/>
      </c>
      <c r="J24" s="14" t="str">
        <f aca="false">IF(B24="","",SUMIFS(Reservations!$G:$G,Reservations!$B:$B,B24))</f>
        <v/>
      </c>
      <c r="K24" s="14" t="str">
        <f aca="false">IF(OR(B24="",G24=""),"",G24-J24)</f>
        <v/>
      </c>
      <c r="L24" s="15" t="str">
        <f aca="false">IF(K24="","",IF(K24&gt;0,"À appeler",IF(K24=0,"Réservé","Trop réservé")))</f>
        <v/>
      </c>
      <c r="M24" s="11"/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1"/>
      <c r="G25" s="12"/>
      <c r="H25" s="13" t="str">
        <f aca="false">IF(F25="","",IFERROR(INDEX(Tarifs!$B$2:$B$9,MATCH(F25,Tarifs!$A$2:$A$9,0)),""))</f>
        <v/>
      </c>
      <c r="I25" s="13" t="str">
        <f aca="false">IF(OR(G25="",H25=""),"",G25*H25*(1-IF(G25&gt;=Tarifs!$A$17,Tarifs!$B$17,IF(G25&gt;=Tarifs!$A$16,Tarifs!$B$16,0))))</f>
        <v/>
      </c>
      <c r="J25" s="14" t="str">
        <f aca="false">IF(B25="","",SUMIFS(Reservations!$G:$G,Reservations!$B:$B,B25))</f>
        <v/>
      </c>
      <c r="K25" s="14" t="str">
        <f aca="false">IF(OR(B25="",G25=""),"",G25-J25)</f>
        <v/>
      </c>
      <c r="L25" s="15" t="str">
        <f aca="false">IF(K25="","",IF(K25&gt;0,"À appeler",IF(K25=0,"Réservé","Trop réservé")))</f>
        <v/>
      </c>
      <c r="M25" s="11"/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1"/>
      <c r="G26" s="12"/>
      <c r="H26" s="13" t="str">
        <f aca="false">IF(F26="","",IFERROR(INDEX(Tarifs!$B$2:$B$9,MATCH(F26,Tarifs!$A$2:$A$9,0)),""))</f>
        <v/>
      </c>
      <c r="I26" s="13" t="str">
        <f aca="false">IF(OR(G26="",H26=""),"",G26*H26*(1-IF(G26&gt;=Tarifs!$A$17,Tarifs!$B$17,IF(G26&gt;=Tarifs!$A$16,Tarifs!$B$16,0))))</f>
        <v/>
      </c>
      <c r="J26" s="14" t="str">
        <f aca="false">IF(B26="","",SUMIFS(Reservations!$G:$G,Reservations!$B:$B,B26))</f>
        <v/>
      </c>
      <c r="K26" s="14" t="str">
        <f aca="false">IF(OR(B26="",G26=""),"",G26-J26)</f>
        <v/>
      </c>
      <c r="L26" s="15" t="str">
        <f aca="false">IF(K26="","",IF(K26&gt;0,"À appeler",IF(K26=0,"Réservé","Trop réservé")))</f>
        <v/>
      </c>
      <c r="M26" s="11"/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1"/>
      <c r="G27" s="12"/>
      <c r="H27" s="13" t="str">
        <f aca="false">IF(F27="","",IFERROR(INDEX(Tarifs!$B$2:$B$9,MATCH(F27,Tarifs!$A$2:$A$9,0)),""))</f>
        <v/>
      </c>
      <c r="I27" s="13" t="str">
        <f aca="false">IF(OR(G27="",H27=""),"",G27*H27*(1-IF(G27&gt;=Tarifs!$A$17,Tarifs!$B$17,IF(G27&gt;=Tarifs!$A$16,Tarifs!$B$16,0))))</f>
        <v/>
      </c>
      <c r="J27" s="14" t="str">
        <f aca="false">IF(B27="","",SUMIFS(Reservations!$G:$G,Reservations!$B:$B,B27))</f>
        <v/>
      </c>
      <c r="K27" s="14" t="str">
        <f aca="false">IF(OR(B27="",G27=""),"",G27-J27)</f>
        <v/>
      </c>
      <c r="L27" s="15" t="str">
        <f aca="false">IF(K27="","",IF(K27&gt;0,"À appeler",IF(K27=0,"Réservé","Trop réservé")))</f>
        <v/>
      </c>
      <c r="M27" s="11"/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1"/>
      <c r="G28" s="12"/>
      <c r="H28" s="13" t="str">
        <f aca="false">IF(F28="","",IFERROR(INDEX(Tarifs!$B$2:$B$9,MATCH(F28,Tarifs!$A$2:$A$9,0)),""))</f>
        <v/>
      </c>
      <c r="I28" s="13" t="str">
        <f aca="false">IF(OR(G28="",H28=""),"",G28*H28*(1-IF(G28&gt;=Tarifs!$A$17,Tarifs!$B$17,IF(G28&gt;=Tarifs!$A$16,Tarifs!$B$16,0))))</f>
        <v/>
      </c>
      <c r="J28" s="14" t="str">
        <f aca="false">IF(B28="","",SUMIFS(Reservations!$G:$G,Reservations!$B:$B,B28))</f>
        <v/>
      </c>
      <c r="K28" s="14" t="str">
        <f aca="false">IF(OR(B28="",G28=""),"",G28-J28)</f>
        <v/>
      </c>
      <c r="L28" s="15" t="str">
        <f aca="false">IF(K28="","",IF(K28&gt;0,"À appeler",IF(K28=0,"Réservé","Trop réservé")))</f>
        <v/>
      </c>
      <c r="M28" s="11"/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1"/>
      <c r="G29" s="12"/>
      <c r="H29" s="13" t="str">
        <f aca="false">IF(F29="","",IFERROR(INDEX(Tarifs!$B$2:$B$9,MATCH(F29,Tarifs!$A$2:$A$9,0)),""))</f>
        <v/>
      </c>
      <c r="I29" s="13" t="str">
        <f aca="false">IF(OR(G29="",H29=""),"",G29*H29*(1-IF(G29&gt;=Tarifs!$A$17,Tarifs!$B$17,IF(G29&gt;=Tarifs!$A$16,Tarifs!$B$16,0))))</f>
        <v/>
      </c>
      <c r="J29" s="14" t="str">
        <f aca="false">IF(B29="","",SUMIFS(Reservations!$G:$G,Reservations!$B:$B,B29))</f>
        <v/>
      </c>
      <c r="K29" s="14" t="str">
        <f aca="false">IF(OR(B29="",G29=""),"",G29-J29)</f>
        <v/>
      </c>
      <c r="L29" s="15" t="str">
        <f aca="false">IF(K29="","",IF(K29&gt;0,"À appeler",IF(K29=0,"Réservé","Trop réservé")))</f>
        <v/>
      </c>
      <c r="M29" s="11"/>
    </row>
    <row r="30" customFormat="false" ht="15" hidden="false" customHeight="false" outlineLevel="0" collapsed="false">
      <c r="A30" s="10"/>
      <c r="B30" s="11"/>
      <c r="C30" s="11"/>
      <c r="D30" s="11"/>
      <c r="E30" s="11"/>
      <c r="F30" s="11"/>
      <c r="G30" s="12"/>
      <c r="H30" s="13" t="str">
        <f aca="false">IF(F30="","",IFERROR(INDEX(Tarifs!$B$2:$B$9,MATCH(F30,Tarifs!$A$2:$A$9,0)),""))</f>
        <v/>
      </c>
      <c r="I30" s="13" t="str">
        <f aca="false">IF(OR(G30="",H30=""),"",G30*H30*(1-IF(G30&gt;=Tarifs!$A$17,Tarifs!$B$17,IF(G30&gt;=Tarifs!$A$16,Tarifs!$B$16,0))))</f>
        <v/>
      </c>
      <c r="J30" s="14" t="str">
        <f aca="false">IF(B30="","",SUMIFS(Reservations!$G:$G,Reservations!$B:$B,B30))</f>
        <v/>
      </c>
      <c r="K30" s="14" t="str">
        <f aca="false">IF(OR(B30="",G30=""),"",G30-J30)</f>
        <v/>
      </c>
      <c r="L30" s="15" t="str">
        <f aca="false">IF(K30="","",IF(K30&gt;0,"À appeler",IF(K30=0,"Réservé","Trop réservé")))</f>
        <v/>
      </c>
      <c r="M30" s="11"/>
    </row>
    <row r="31" customFormat="false" ht="15" hidden="false" customHeight="false" outlineLevel="0" collapsed="false">
      <c r="A31" s="10"/>
      <c r="B31" s="11"/>
      <c r="C31" s="11"/>
      <c r="D31" s="11"/>
      <c r="E31" s="11"/>
      <c r="F31" s="11"/>
      <c r="G31" s="12"/>
      <c r="H31" s="13" t="str">
        <f aca="false">IF(F31="","",IFERROR(INDEX(Tarifs!$B$2:$B$9,MATCH(F31,Tarifs!$A$2:$A$9,0)),""))</f>
        <v/>
      </c>
      <c r="I31" s="13" t="str">
        <f aca="false">IF(OR(G31="",H31=""),"",G31*H31*(1-IF(G31&gt;=Tarifs!$A$17,Tarifs!$B$17,IF(G31&gt;=Tarifs!$A$16,Tarifs!$B$16,0))))</f>
        <v/>
      </c>
      <c r="J31" s="14" t="str">
        <f aca="false">IF(B31="","",SUMIFS(Reservations!$G:$G,Reservations!$B:$B,B31))</f>
        <v/>
      </c>
      <c r="K31" s="14" t="str">
        <f aca="false">IF(OR(B31="",G31=""),"",G31-J31)</f>
        <v/>
      </c>
      <c r="L31" s="15" t="str">
        <f aca="false">IF(K31="","",IF(K31&gt;0,"À appeler",IF(K31=0,"Réservé","Trop réservé")))</f>
        <v/>
      </c>
      <c r="M31" s="11"/>
    </row>
    <row r="32" customFormat="false" ht="15" hidden="false" customHeight="false" outlineLevel="0" collapsed="false">
      <c r="A32" s="10"/>
      <c r="B32" s="11"/>
      <c r="C32" s="11"/>
      <c r="D32" s="11"/>
      <c r="E32" s="11"/>
      <c r="F32" s="11"/>
      <c r="G32" s="12"/>
      <c r="H32" s="13" t="str">
        <f aca="false">IF(F32="","",IFERROR(INDEX(Tarifs!$B$2:$B$9,MATCH(F32,Tarifs!$A$2:$A$9,0)),""))</f>
        <v/>
      </c>
      <c r="I32" s="13" t="str">
        <f aca="false">IF(OR(G32="",H32=""),"",G32*H32*(1-IF(G32&gt;=Tarifs!$A$17,Tarifs!$B$17,IF(G32&gt;=Tarifs!$A$16,Tarifs!$B$16,0))))</f>
        <v/>
      </c>
      <c r="J32" s="14" t="str">
        <f aca="false">IF(B32="","",SUMIFS(Reservations!$G:$G,Reservations!$B:$B,B32))</f>
        <v/>
      </c>
      <c r="K32" s="14" t="str">
        <f aca="false">IF(OR(B32="",G32=""),"",G32-J32)</f>
        <v/>
      </c>
      <c r="L32" s="15" t="str">
        <f aca="false">IF(K32="","",IF(K32&gt;0,"À appeler",IF(K32=0,"Réservé","Trop réservé")))</f>
        <v/>
      </c>
      <c r="M32" s="11"/>
    </row>
    <row r="33" customFormat="false" ht="15" hidden="false" customHeight="false" outlineLevel="0" collapsed="false">
      <c r="A33" s="10"/>
      <c r="B33" s="11"/>
      <c r="C33" s="11"/>
      <c r="D33" s="11"/>
      <c r="E33" s="11"/>
      <c r="F33" s="11"/>
      <c r="G33" s="12"/>
      <c r="H33" s="13" t="str">
        <f aca="false">IF(F33="","",IFERROR(INDEX(Tarifs!$B$2:$B$9,MATCH(F33,Tarifs!$A$2:$A$9,0)),""))</f>
        <v/>
      </c>
      <c r="I33" s="13" t="str">
        <f aca="false">IF(OR(G33="",H33=""),"",G33*H33*(1-IF(G33&gt;=Tarifs!$A$17,Tarifs!$B$17,IF(G33&gt;=Tarifs!$A$16,Tarifs!$B$16,0))))</f>
        <v/>
      </c>
      <c r="J33" s="14" t="str">
        <f aca="false">IF(B33="","",SUMIFS(Reservations!$G:$G,Reservations!$B:$B,B33))</f>
        <v/>
      </c>
      <c r="K33" s="14" t="str">
        <f aca="false">IF(OR(B33="",G33=""),"",G33-J33)</f>
        <v/>
      </c>
      <c r="L33" s="15" t="str">
        <f aca="false">IF(K33="","",IF(K33&gt;0,"À appeler",IF(K33=0,"Réservé","Trop réservé")))</f>
        <v/>
      </c>
      <c r="M33" s="11"/>
    </row>
    <row r="34" customFormat="false" ht="15" hidden="false" customHeight="false" outlineLevel="0" collapsed="false">
      <c r="A34" s="10"/>
      <c r="B34" s="11"/>
      <c r="C34" s="11"/>
      <c r="D34" s="11"/>
      <c r="E34" s="11"/>
      <c r="F34" s="11"/>
      <c r="G34" s="12"/>
      <c r="H34" s="13" t="str">
        <f aca="false">IF(F34="","",IFERROR(INDEX(Tarifs!$B$2:$B$9,MATCH(F34,Tarifs!$A$2:$A$9,0)),""))</f>
        <v/>
      </c>
      <c r="I34" s="13" t="str">
        <f aca="false">IF(OR(G34="",H34=""),"",G34*H34*(1-IF(G34&gt;=Tarifs!$A$17,Tarifs!$B$17,IF(G34&gt;=Tarifs!$A$16,Tarifs!$B$16,0))))</f>
        <v/>
      </c>
      <c r="J34" s="14" t="str">
        <f aca="false">IF(B34="","",SUMIFS(Reservations!$G:$G,Reservations!$B:$B,B34))</f>
        <v/>
      </c>
      <c r="K34" s="14" t="str">
        <f aca="false">IF(OR(B34="",G34=""),"",G34-J34)</f>
        <v/>
      </c>
      <c r="L34" s="15" t="str">
        <f aca="false">IF(K34="","",IF(K34&gt;0,"À appeler",IF(K34=0,"Réservé","Trop réservé")))</f>
        <v/>
      </c>
      <c r="M34" s="11"/>
    </row>
    <row r="35" customFormat="false" ht="15" hidden="false" customHeight="false" outlineLevel="0" collapsed="false">
      <c r="A35" s="10"/>
      <c r="B35" s="11"/>
      <c r="C35" s="11"/>
      <c r="D35" s="11"/>
      <c r="E35" s="11"/>
      <c r="F35" s="11"/>
      <c r="G35" s="12"/>
      <c r="H35" s="13" t="str">
        <f aca="false">IF(F35="","",IFERROR(INDEX(Tarifs!$B$2:$B$9,MATCH(F35,Tarifs!$A$2:$A$9,0)),""))</f>
        <v/>
      </c>
      <c r="I35" s="13" t="str">
        <f aca="false">IF(OR(G35="",H35=""),"",G35*H35*(1-IF(G35&gt;=Tarifs!$A$17,Tarifs!$B$17,IF(G35&gt;=Tarifs!$A$16,Tarifs!$B$16,0))))</f>
        <v/>
      </c>
      <c r="J35" s="14" t="str">
        <f aca="false">IF(B35="","",SUMIFS(Reservations!$G:$G,Reservations!$B:$B,B35))</f>
        <v/>
      </c>
      <c r="K35" s="14" t="str">
        <f aca="false">IF(OR(B35="",G35=""),"",G35-J35)</f>
        <v/>
      </c>
      <c r="L35" s="15" t="str">
        <f aca="false">IF(K35="","",IF(K35&gt;0,"À appeler",IF(K35=0,"Réservé","Trop réservé")))</f>
        <v/>
      </c>
      <c r="M35" s="11"/>
    </row>
    <row r="36" customFormat="false" ht="15" hidden="false" customHeight="false" outlineLevel="0" collapsed="false">
      <c r="A36" s="10"/>
      <c r="B36" s="11"/>
      <c r="C36" s="11"/>
      <c r="D36" s="11"/>
      <c r="E36" s="11"/>
      <c r="F36" s="11"/>
      <c r="G36" s="12"/>
      <c r="H36" s="13" t="str">
        <f aca="false">IF(F36="","",IFERROR(INDEX(Tarifs!$B$2:$B$9,MATCH(F36,Tarifs!$A$2:$A$9,0)),""))</f>
        <v/>
      </c>
      <c r="I36" s="13" t="str">
        <f aca="false">IF(OR(G36="",H36=""),"",G36*H36*(1-IF(G36&gt;=Tarifs!$A$17,Tarifs!$B$17,IF(G36&gt;=Tarifs!$A$16,Tarifs!$B$16,0))))</f>
        <v/>
      </c>
      <c r="J36" s="14" t="str">
        <f aca="false">IF(B36="","",SUMIFS(Reservations!$G:$G,Reservations!$B:$B,B36))</f>
        <v/>
      </c>
      <c r="K36" s="14" t="str">
        <f aca="false">IF(OR(B36="",G36=""),"",G36-J36)</f>
        <v/>
      </c>
      <c r="L36" s="15" t="str">
        <f aca="false">IF(K36="","",IF(K36&gt;0,"À appeler",IF(K36=0,"Réservé","Trop réservé")))</f>
        <v/>
      </c>
      <c r="M36" s="11"/>
    </row>
    <row r="37" customFormat="false" ht="15" hidden="false" customHeight="false" outlineLevel="0" collapsed="false">
      <c r="A37" s="10"/>
      <c r="B37" s="11"/>
      <c r="C37" s="11"/>
      <c r="D37" s="11"/>
      <c r="E37" s="11"/>
      <c r="F37" s="11"/>
      <c r="G37" s="12"/>
      <c r="H37" s="13" t="str">
        <f aca="false">IF(F37="","",IFERROR(INDEX(Tarifs!$B$2:$B$9,MATCH(F37,Tarifs!$A$2:$A$9,0)),""))</f>
        <v/>
      </c>
      <c r="I37" s="13" t="str">
        <f aca="false">IF(OR(G37="",H37=""),"",G37*H37*(1-IF(G37&gt;=Tarifs!$A$17,Tarifs!$B$17,IF(G37&gt;=Tarifs!$A$16,Tarifs!$B$16,0))))</f>
        <v/>
      </c>
      <c r="J37" s="14" t="str">
        <f aca="false">IF(B37="","",SUMIFS(Reservations!$G:$G,Reservations!$B:$B,B37))</f>
        <v/>
      </c>
      <c r="K37" s="14" t="str">
        <f aca="false">IF(OR(B37="",G37=""),"",G37-J37)</f>
        <v/>
      </c>
      <c r="L37" s="15" t="str">
        <f aca="false">IF(K37="","",IF(K37&gt;0,"À appeler",IF(K37=0,"Réservé","Trop réservé")))</f>
        <v/>
      </c>
      <c r="M37" s="11"/>
    </row>
    <row r="38" customFormat="false" ht="15" hidden="false" customHeight="false" outlineLevel="0" collapsed="false">
      <c r="A38" s="10"/>
      <c r="B38" s="11"/>
      <c r="C38" s="11"/>
      <c r="D38" s="11"/>
      <c r="E38" s="11"/>
      <c r="F38" s="11"/>
      <c r="G38" s="12"/>
      <c r="H38" s="13" t="str">
        <f aca="false">IF(F38="","",IFERROR(INDEX(Tarifs!$B$2:$B$9,MATCH(F38,Tarifs!$A$2:$A$9,0)),""))</f>
        <v/>
      </c>
      <c r="I38" s="13" t="str">
        <f aca="false">IF(OR(G38="",H38=""),"",G38*H38*(1-IF(G38&gt;=Tarifs!$A$17,Tarifs!$B$17,IF(G38&gt;=Tarifs!$A$16,Tarifs!$B$16,0))))</f>
        <v/>
      </c>
      <c r="J38" s="14" t="str">
        <f aca="false">IF(B38="","",SUMIFS(Reservations!$G:$G,Reservations!$B:$B,B38))</f>
        <v/>
      </c>
      <c r="K38" s="14" t="str">
        <f aca="false">IF(OR(B38="",G38=""),"",G38-J38)</f>
        <v/>
      </c>
      <c r="L38" s="15" t="str">
        <f aca="false">IF(K38="","",IF(K38&gt;0,"À appeler",IF(K38=0,"Réservé","Trop réservé")))</f>
        <v/>
      </c>
      <c r="M38" s="11"/>
    </row>
    <row r="39" customFormat="false" ht="15" hidden="false" customHeight="false" outlineLevel="0" collapsed="false">
      <c r="A39" s="10"/>
      <c r="B39" s="11"/>
      <c r="C39" s="11"/>
      <c r="D39" s="11"/>
      <c r="E39" s="11"/>
      <c r="F39" s="11"/>
      <c r="G39" s="12"/>
      <c r="H39" s="13" t="str">
        <f aca="false">IF(F39="","",IFERROR(INDEX(Tarifs!$B$2:$B$9,MATCH(F39,Tarifs!$A$2:$A$9,0)),""))</f>
        <v/>
      </c>
      <c r="I39" s="13" t="str">
        <f aca="false">IF(OR(G39="",H39=""),"",G39*H39*(1-IF(G39&gt;=Tarifs!$A$17,Tarifs!$B$17,IF(G39&gt;=Tarifs!$A$16,Tarifs!$B$16,0))))</f>
        <v/>
      </c>
      <c r="J39" s="14" t="str">
        <f aca="false">IF(B39="","",SUMIFS(Reservations!$G:$G,Reservations!$B:$B,B39))</f>
        <v/>
      </c>
      <c r="K39" s="14" t="str">
        <f aca="false">IF(OR(B39="",G39=""),"",G39-J39)</f>
        <v/>
      </c>
      <c r="L39" s="15" t="str">
        <f aca="false">IF(K39="","",IF(K39&gt;0,"À appeler",IF(K39=0,"Réservé","Trop réservé")))</f>
        <v/>
      </c>
      <c r="M39" s="11"/>
    </row>
    <row r="40" customFormat="false" ht="15" hidden="false" customHeight="false" outlineLevel="0" collapsed="false">
      <c r="A40" s="10"/>
      <c r="B40" s="11"/>
      <c r="C40" s="11"/>
      <c r="D40" s="11"/>
      <c r="E40" s="11"/>
      <c r="F40" s="11"/>
      <c r="G40" s="12"/>
      <c r="H40" s="13" t="str">
        <f aca="false">IF(F40="","",IFERROR(INDEX(Tarifs!$B$2:$B$9,MATCH(F40,Tarifs!$A$2:$A$9,0)),""))</f>
        <v/>
      </c>
      <c r="I40" s="13" t="str">
        <f aca="false">IF(OR(G40="",H40=""),"",G40*H40*(1-IF(G40&gt;=Tarifs!$A$17,Tarifs!$B$17,IF(G40&gt;=Tarifs!$A$16,Tarifs!$B$16,0))))</f>
        <v/>
      </c>
      <c r="J40" s="14" t="str">
        <f aca="false">IF(B40="","",SUMIFS(Reservations!$G:$G,Reservations!$B:$B,B40))</f>
        <v/>
      </c>
      <c r="K40" s="14" t="str">
        <f aca="false">IF(OR(B40="",G40=""),"",G40-J40)</f>
        <v/>
      </c>
      <c r="L40" s="15" t="str">
        <f aca="false">IF(K40="","",IF(K40&gt;0,"À appeler",IF(K40=0,"Réservé","Trop réservé")))</f>
        <v/>
      </c>
      <c r="M40" s="11"/>
    </row>
    <row r="41" customFormat="false" ht="15" hidden="false" customHeight="false" outlineLevel="0" collapsed="false">
      <c r="A41" s="10"/>
      <c r="B41" s="11"/>
      <c r="C41" s="11"/>
      <c r="D41" s="11"/>
      <c r="E41" s="11"/>
      <c r="F41" s="11"/>
      <c r="G41" s="12"/>
      <c r="H41" s="13" t="str">
        <f aca="false">IF(F41="","",IFERROR(INDEX(Tarifs!$B$2:$B$9,MATCH(F41,Tarifs!$A$2:$A$9,0)),""))</f>
        <v/>
      </c>
      <c r="I41" s="13" t="str">
        <f aca="false">IF(OR(G41="",H41=""),"",G41*H41*(1-IF(G41&gt;=Tarifs!$A$17,Tarifs!$B$17,IF(G41&gt;=Tarifs!$A$16,Tarifs!$B$16,0))))</f>
        <v/>
      </c>
      <c r="J41" s="14" t="str">
        <f aca="false">IF(B41="","",SUMIFS(Reservations!$G:$G,Reservations!$B:$B,B41))</f>
        <v/>
      </c>
      <c r="K41" s="14" t="str">
        <f aca="false">IF(OR(B41="",G41=""),"",G41-J41)</f>
        <v/>
      </c>
      <c r="L41" s="15" t="str">
        <f aca="false">IF(K41="","",IF(K41&gt;0,"À appeler",IF(K41=0,"Réservé","Trop réservé")))</f>
        <v/>
      </c>
      <c r="M41" s="11"/>
    </row>
    <row r="42" customFormat="false" ht="15" hidden="false" customHeight="false" outlineLevel="0" collapsed="false">
      <c r="A42" s="10"/>
      <c r="B42" s="11"/>
      <c r="C42" s="11"/>
      <c r="D42" s="11"/>
      <c r="E42" s="11"/>
      <c r="F42" s="11"/>
      <c r="G42" s="12"/>
      <c r="H42" s="13" t="str">
        <f aca="false">IF(F42="","",IFERROR(INDEX(Tarifs!$B$2:$B$9,MATCH(F42,Tarifs!$A$2:$A$9,0)),""))</f>
        <v/>
      </c>
      <c r="I42" s="13" t="str">
        <f aca="false">IF(OR(G42="",H42=""),"",G42*H42*(1-IF(G42&gt;=Tarifs!$A$17,Tarifs!$B$17,IF(G42&gt;=Tarifs!$A$16,Tarifs!$B$16,0))))</f>
        <v/>
      </c>
      <c r="J42" s="14" t="str">
        <f aca="false">IF(B42="","",SUMIFS(Reservations!$G:$G,Reservations!$B:$B,B42))</f>
        <v/>
      </c>
      <c r="K42" s="14" t="str">
        <f aca="false">IF(OR(B42="",G42=""),"",G42-J42)</f>
        <v/>
      </c>
      <c r="L42" s="15" t="str">
        <f aca="false">IF(K42="","",IF(K42&gt;0,"À appeler",IF(K42=0,"Réservé","Trop réservé")))</f>
        <v/>
      </c>
      <c r="M42" s="11"/>
    </row>
    <row r="43" customFormat="false" ht="15" hidden="false" customHeight="false" outlineLevel="0" collapsed="false">
      <c r="A43" s="10"/>
      <c r="B43" s="11"/>
      <c r="C43" s="11"/>
      <c r="D43" s="11"/>
      <c r="E43" s="11"/>
      <c r="F43" s="11"/>
      <c r="G43" s="12"/>
      <c r="H43" s="13" t="str">
        <f aca="false">IF(F43="","",IFERROR(INDEX(Tarifs!$B$2:$B$9,MATCH(F43,Tarifs!$A$2:$A$9,0)),""))</f>
        <v/>
      </c>
      <c r="I43" s="13" t="str">
        <f aca="false">IF(OR(G43="",H43=""),"",G43*H43*(1-IF(G43&gt;=Tarifs!$A$17,Tarifs!$B$17,IF(G43&gt;=Tarifs!$A$16,Tarifs!$B$16,0))))</f>
        <v/>
      </c>
      <c r="J43" s="14" t="str">
        <f aca="false">IF(B43="","",SUMIFS(Reservations!$G:$G,Reservations!$B:$B,B43))</f>
        <v/>
      </c>
      <c r="K43" s="14" t="str">
        <f aca="false">IF(OR(B43="",G43=""),"",G43-J43)</f>
        <v/>
      </c>
      <c r="L43" s="15" t="str">
        <f aca="false">IF(K43="","",IF(K43&gt;0,"À appeler",IF(K43=0,"Réservé","Trop réservé")))</f>
        <v/>
      </c>
      <c r="M43" s="11"/>
    </row>
    <row r="44" customFormat="false" ht="15" hidden="false" customHeight="false" outlineLevel="0" collapsed="false">
      <c r="A44" s="10"/>
      <c r="B44" s="11"/>
      <c r="C44" s="11"/>
      <c r="D44" s="11"/>
      <c r="E44" s="11"/>
      <c r="F44" s="11"/>
      <c r="G44" s="12"/>
      <c r="H44" s="13" t="str">
        <f aca="false">IF(F44="","",IFERROR(INDEX(Tarifs!$B$2:$B$9,MATCH(F44,Tarifs!$A$2:$A$9,0)),""))</f>
        <v/>
      </c>
      <c r="I44" s="13" t="str">
        <f aca="false">IF(OR(G44="",H44=""),"",G44*H44*(1-IF(G44&gt;=Tarifs!$A$17,Tarifs!$B$17,IF(G44&gt;=Tarifs!$A$16,Tarifs!$B$16,0))))</f>
        <v/>
      </c>
      <c r="J44" s="14" t="str">
        <f aca="false">IF(B44="","",SUMIFS(Reservations!$G:$G,Reservations!$B:$B,B44))</f>
        <v/>
      </c>
      <c r="K44" s="14" t="str">
        <f aca="false">IF(OR(B44="",G44=""),"",G44-J44)</f>
        <v/>
      </c>
      <c r="L44" s="15" t="str">
        <f aca="false">IF(K44="","",IF(K44&gt;0,"À appeler",IF(K44=0,"Réservé","Trop réservé")))</f>
        <v/>
      </c>
      <c r="M44" s="11"/>
    </row>
    <row r="45" customFormat="false" ht="15" hidden="false" customHeight="false" outlineLevel="0" collapsed="false">
      <c r="A45" s="10"/>
      <c r="B45" s="11"/>
      <c r="C45" s="11"/>
      <c r="D45" s="11"/>
      <c r="E45" s="11"/>
      <c r="F45" s="11"/>
      <c r="G45" s="12"/>
      <c r="H45" s="13" t="str">
        <f aca="false">IF(F45="","",IFERROR(INDEX(Tarifs!$B$2:$B$9,MATCH(F45,Tarifs!$A$2:$A$9,0)),""))</f>
        <v/>
      </c>
      <c r="I45" s="13" t="str">
        <f aca="false">IF(OR(G45="",H45=""),"",G45*H45*(1-IF(G45&gt;=Tarifs!$A$17,Tarifs!$B$17,IF(G45&gt;=Tarifs!$A$16,Tarifs!$B$16,0))))</f>
        <v/>
      </c>
      <c r="J45" s="14" t="str">
        <f aca="false">IF(B45="","",SUMIFS(Reservations!$G:$G,Reservations!$B:$B,B45))</f>
        <v/>
      </c>
      <c r="K45" s="14" t="str">
        <f aca="false">IF(OR(B45="",G45=""),"",G45-J45)</f>
        <v/>
      </c>
      <c r="L45" s="15" t="str">
        <f aca="false">IF(K45="","",IF(K45&gt;0,"À appeler",IF(K45=0,"Réservé","Trop réservé")))</f>
        <v/>
      </c>
      <c r="M45" s="11"/>
    </row>
    <row r="46" customFormat="false" ht="15" hidden="false" customHeight="false" outlineLevel="0" collapsed="false">
      <c r="A46" s="10"/>
      <c r="B46" s="11"/>
      <c r="C46" s="11"/>
      <c r="D46" s="11"/>
      <c r="E46" s="11"/>
      <c r="F46" s="11"/>
      <c r="G46" s="12"/>
      <c r="H46" s="13" t="str">
        <f aca="false">IF(F46="","",IFERROR(INDEX(Tarifs!$B$2:$B$9,MATCH(F46,Tarifs!$A$2:$A$9,0)),""))</f>
        <v/>
      </c>
      <c r="I46" s="13" t="str">
        <f aca="false">IF(OR(G46="",H46=""),"",G46*H46*(1-IF(G46&gt;=Tarifs!$A$17,Tarifs!$B$17,IF(G46&gt;=Tarifs!$A$16,Tarifs!$B$16,0))))</f>
        <v/>
      </c>
      <c r="J46" s="14" t="str">
        <f aca="false">IF(B46="","",SUMIFS(Reservations!$G:$G,Reservations!$B:$B,B46))</f>
        <v/>
      </c>
      <c r="K46" s="14" t="str">
        <f aca="false">IF(OR(B46="",G46=""),"",G46-J46)</f>
        <v/>
      </c>
      <c r="L46" s="15" t="str">
        <f aca="false">IF(K46="","",IF(K46&gt;0,"À appeler",IF(K46=0,"Réservé","Trop réservé")))</f>
        <v/>
      </c>
      <c r="M46" s="11"/>
    </row>
    <row r="47" customFormat="false" ht="15" hidden="false" customHeight="false" outlineLevel="0" collapsed="false">
      <c r="A47" s="10"/>
      <c r="B47" s="11"/>
      <c r="C47" s="11"/>
      <c r="D47" s="11"/>
      <c r="E47" s="11"/>
      <c r="F47" s="11"/>
      <c r="G47" s="12"/>
      <c r="H47" s="13" t="str">
        <f aca="false">IF(F47="","",IFERROR(INDEX(Tarifs!$B$2:$B$9,MATCH(F47,Tarifs!$A$2:$A$9,0)),""))</f>
        <v/>
      </c>
      <c r="I47" s="13" t="str">
        <f aca="false">IF(OR(G47="",H47=""),"",G47*H47*(1-IF(G47&gt;=Tarifs!$A$17,Tarifs!$B$17,IF(G47&gt;=Tarifs!$A$16,Tarifs!$B$16,0))))</f>
        <v/>
      </c>
      <c r="J47" s="14" t="str">
        <f aca="false">IF(B47="","",SUMIFS(Reservations!$G:$G,Reservations!$B:$B,B47))</f>
        <v/>
      </c>
      <c r="K47" s="14" t="str">
        <f aca="false">IF(OR(B47="",G47=""),"",G47-J47)</f>
        <v/>
      </c>
      <c r="L47" s="15" t="str">
        <f aca="false">IF(K47="","",IF(K47&gt;0,"À appeler",IF(K47=0,"Réservé","Trop réservé")))</f>
        <v/>
      </c>
      <c r="M47" s="11"/>
    </row>
    <row r="48" customFormat="false" ht="15" hidden="false" customHeight="false" outlineLevel="0" collapsed="false">
      <c r="A48" s="10"/>
      <c r="B48" s="11"/>
      <c r="C48" s="11"/>
      <c r="D48" s="11"/>
      <c r="E48" s="11"/>
      <c r="F48" s="11"/>
      <c r="G48" s="12"/>
      <c r="H48" s="13" t="str">
        <f aca="false">IF(F48="","",IFERROR(INDEX(Tarifs!$B$2:$B$9,MATCH(F48,Tarifs!$A$2:$A$9,0)),""))</f>
        <v/>
      </c>
      <c r="I48" s="13" t="str">
        <f aca="false">IF(OR(G48="",H48=""),"",G48*H48*(1-IF(G48&gt;=Tarifs!$A$17,Tarifs!$B$17,IF(G48&gt;=Tarifs!$A$16,Tarifs!$B$16,0))))</f>
        <v/>
      </c>
      <c r="J48" s="14" t="str">
        <f aca="false">IF(B48="","",SUMIFS(Reservations!$G:$G,Reservations!$B:$B,B48))</f>
        <v/>
      </c>
      <c r="K48" s="14" t="str">
        <f aca="false">IF(OR(B48="",G48=""),"",G48-J48)</f>
        <v/>
      </c>
      <c r="L48" s="15" t="str">
        <f aca="false">IF(K48="","",IF(K48&gt;0,"À appeler",IF(K48=0,"Réservé","Trop réservé")))</f>
        <v/>
      </c>
      <c r="M48" s="11"/>
    </row>
    <row r="49" customFormat="false" ht="15" hidden="false" customHeight="false" outlineLevel="0" collapsed="false">
      <c r="A49" s="10"/>
      <c r="B49" s="11"/>
      <c r="C49" s="11"/>
      <c r="D49" s="11"/>
      <c r="E49" s="11"/>
      <c r="F49" s="11"/>
      <c r="G49" s="12"/>
      <c r="H49" s="13" t="str">
        <f aca="false">IF(F49="","",IFERROR(INDEX(Tarifs!$B$2:$B$9,MATCH(F49,Tarifs!$A$2:$A$9,0)),""))</f>
        <v/>
      </c>
      <c r="I49" s="13" t="str">
        <f aca="false">IF(OR(G49="",H49=""),"",G49*H49*(1-IF(G49&gt;=Tarifs!$A$17,Tarifs!$B$17,IF(G49&gt;=Tarifs!$A$16,Tarifs!$B$16,0))))</f>
        <v/>
      </c>
      <c r="J49" s="14" t="str">
        <f aca="false">IF(B49="","",SUMIFS(Reservations!$G:$G,Reservations!$B:$B,B49))</f>
        <v/>
      </c>
      <c r="K49" s="14" t="str">
        <f aca="false">IF(OR(B49="",G49=""),"",G49-J49)</f>
        <v/>
      </c>
      <c r="L49" s="15" t="str">
        <f aca="false">IF(K49="","",IF(K49&gt;0,"À appeler",IF(K49=0,"Réservé","Trop réservé")))</f>
        <v/>
      </c>
      <c r="M49" s="11"/>
    </row>
    <row r="50" customFormat="false" ht="15" hidden="false" customHeight="false" outlineLevel="0" collapsed="false">
      <c r="A50" s="10"/>
      <c r="B50" s="11"/>
      <c r="C50" s="11"/>
      <c r="D50" s="11"/>
      <c r="E50" s="11"/>
      <c r="F50" s="11"/>
      <c r="G50" s="12"/>
      <c r="H50" s="13" t="str">
        <f aca="false">IF(F50="","",IFERROR(INDEX(Tarifs!$B$2:$B$9,MATCH(F50,Tarifs!$A$2:$A$9,0)),""))</f>
        <v/>
      </c>
      <c r="I50" s="13" t="str">
        <f aca="false">IF(OR(G50="",H50=""),"",G50*H50*(1-IF(G50&gt;=Tarifs!$A$17,Tarifs!$B$17,IF(G50&gt;=Tarifs!$A$16,Tarifs!$B$16,0))))</f>
        <v/>
      </c>
      <c r="J50" s="14" t="str">
        <f aca="false">IF(B50="","",SUMIFS(Reservations!$G:$G,Reservations!$B:$B,B50))</f>
        <v/>
      </c>
      <c r="K50" s="14" t="str">
        <f aca="false">IF(OR(B50="",G50=""),"",G50-J50)</f>
        <v/>
      </c>
      <c r="L50" s="15" t="str">
        <f aca="false">IF(K50="","",IF(K50&gt;0,"À appeler",IF(K50=0,"Réservé","Trop réservé")))</f>
        <v/>
      </c>
      <c r="M50" s="11"/>
    </row>
    <row r="51" customFormat="false" ht="15" hidden="false" customHeight="false" outlineLevel="0" collapsed="false">
      <c r="A51" s="10"/>
      <c r="B51" s="11"/>
      <c r="C51" s="11"/>
      <c r="D51" s="11"/>
      <c r="E51" s="11"/>
      <c r="F51" s="11"/>
      <c r="G51" s="12"/>
      <c r="H51" s="13" t="str">
        <f aca="false">IF(F51="","",IFERROR(INDEX(Tarifs!$B$2:$B$9,MATCH(F51,Tarifs!$A$2:$A$9,0)),""))</f>
        <v/>
      </c>
      <c r="I51" s="13" t="str">
        <f aca="false">IF(OR(G51="",H51=""),"",G51*H51*(1-IF(G51&gt;=Tarifs!$A$17,Tarifs!$B$17,IF(G51&gt;=Tarifs!$A$16,Tarifs!$B$16,0))))</f>
        <v/>
      </c>
      <c r="J51" s="14" t="str">
        <f aca="false">IF(B51="","",SUMIFS(Reservations!$G:$G,Reservations!$B:$B,B51))</f>
        <v/>
      </c>
      <c r="K51" s="14" t="str">
        <f aca="false">IF(OR(B51="",G51=""),"",G51-J51)</f>
        <v/>
      </c>
      <c r="L51" s="15" t="str">
        <f aca="false">IF(K51="","",IF(K51&gt;0,"À appeler",IF(K51=0,"Réservé","Trop réservé")))</f>
        <v/>
      </c>
      <c r="M51" s="11"/>
    </row>
    <row r="52" customFormat="false" ht="15" hidden="false" customHeight="false" outlineLevel="0" collapsed="false">
      <c r="A52" s="10"/>
      <c r="B52" s="11"/>
      <c r="C52" s="11"/>
      <c r="D52" s="11"/>
      <c r="E52" s="11"/>
      <c r="F52" s="11"/>
      <c r="G52" s="12"/>
      <c r="H52" s="13" t="str">
        <f aca="false">IF(F52="","",IFERROR(INDEX(Tarifs!$B$2:$B$9,MATCH(F52,Tarifs!$A$2:$A$9,0)),""))</f>
        <v/>
      </c>
      <c r="I52" s="13" t="str">
        <f aca="false">IF(OR(G52="",H52=""),"",G52*H52*(1-IF(G52&gt;=Tarifs!$A$17,Tarifs!$B$17,IF(G52&gt;=Tarifs!$A$16,Tarifs!$B$16,0))))</f>
        <v/>
      </c>
      <c r="J52" s="14" t="str">
        <f aca="false">IF(B52="","",SUMIFS(Reservations!$G:$G,Reservations!$B:$B,B52))</f>
        <v/>
      </c>
      <c r="K52" s="14" t="str">
        <f aca="false">IF(OR(B52="",G52=""),"",G52-J52)</f>
        <v/>
      </c>
      <c r="L52" s="15" t="str">
        <f aca="false">IF(K52="","",IF(K52&gt;0,"À appeler",IF(K52=0,"Réservé","Trop réservé")))</f>
        <v/>
      </c>
      <c r="M52" s="11"/>
    </row>
    <row r="53" customFormat="false" ht="15" hidden="false" customHeight="false" outlineLevel="0" collapsed="false">
      <c r="A53" s="10"/>
      <c r="B53" s="11"/>
      <c r="C53" s="11"/>
      <c r="D53" s="11"/>
      <c r="E53" s="11"/>
      <c r="F53" s="11"/>
      <c r="G53" s="12"/>
      <c r="H53" s="13" t="str">
        <f aca="false">IF(F53="","",IFERROR(INDEX(Tarifs!$B$2:$B$9,MATCH(F53,Tarifs!$A$2:$A$9,0)),""))</f>
        <v/>
      </c>
      <c r="I53" s="13" t="str">
        <f aca="false">IF(OR(G53="",H53=""),"",G53*H53*(1-IF(G53&gt;=Tarifs!$A$17,Tarifs!$B$17,IF(G53&gt;=Tarifs!$A$16,Tarifs!$B$16,0))))</f>
        <v/>
      </c>
      <c r="J53" s="14" t="str">
        <f aca="false">IF(B53="","",SUMIFS(Reservations!$G:$G,Reservations!$B:$B,B53))</f>
        <v/>
      </c>
      <c r="K53" s="14" t="str">
        <f aca="false">IF(OR(B53="",G53=""),"",G53-J53)</f>
        <v/>
      </c>
      <c r="L53" s="15" t="str">
        <f aca="false">IF(K53="","",IF(K53&gt;0,"À appeler",IF(K53=0,"Réservé","Trop réservé")))</f>
        <v/>
      </c>
      <c r="M53" s="11"/>
    </row>
    <row r="54" customFormat="false" ht="15" hidden="false" customHeight="false" outlineLevel="0" collapsed="false">
      <c r="A54" s="10"/>
      <c r="B54" s="11"/>
      <c r="C54" s="11"/>
      <c r="D54" s="11"/>
      <c r="E54" s="11"/>
      <c r="F54" s="11"/>
      <c r="G54" s="12"/>
      <c r="H54" s="13" t="str">
        <f aca="false">IF(F54="","",IFERROR(INDEX(Tarifs!$B$2:$B$9,MATCH(F54,Tarifs!$A$2:$A$9,0)),""))</f>
        <v/>
      </c>
      <c r="I54" s="13" t="str">
        <f aca="false">IF(OR(G54="",H54=""),"",G54*H54*(1-IF(G54&gt;=Tarifs!$A$17,Tarifs!$B$17,IF(G54&gt;=Tarifs!$A$16,Tarifs!$B$16,0))))</f>
        <v/>
      </c>
      <c r="J54" s="14" t="str">
        <f aca="false">IF(B54="","",SUMIFS(Reservations!$G:$G,Reservations!$B:$B,B54))</f>
        <v/>
      </c>
      <c r="K54" s="14" t="str">
        <f aca="false">IF(OR(B54="",G54=""),"",G54-J54)</f>
        <v/>
      </c>
      <c r="L54" s="15" t="str">
        <f aca="false">IF(K54="","",IF(K54&gt;0,"À appeler",IF(K54=0,"Réservé","Trop réservé")))</f>
        <v/>
      </c>
      <c r="M54" s="11"/>
    </row>
    <row r="55" customFormat="false" ht="15" hidden="false" customHeight="false" outlineLevel="0" collapsed="false">
      <c r="A55" s="10"/>
      <c r="B55" s="11"/>
      <c r="C55" s="11"/>
      <c r="D55" s="11"/>
      <c r="E55" s="11"/>
      <c r="F55" s="11"/>
      <c r="G55" s="12"/>
      <c r="H55" s="13" t="str">
        <f aca="false">IF(F55="","",IFERROR(INDEX(Tarifs!$B$2:$B$9,MATCH(F55,Tarifs!$A$2:$A$9,0)),""))</f>
        <v/>
      </c>
      <c r="I55" s="13" t="str">
        <f aca="false">IF(OR(G55="",H55=""),"",G55*H55*(1-IF(G55&gt;=Tarifs!$A$17,Tarifs!$B$17,IF(G55&gt;=Tarifs!$A$16,Tarifs!$B$16,0))))</f>
        <v/>
      </c>
      <c r="J55" s="14" t="str">
        <f aca="false">IF(B55="","",SUMIFS(Reservations!$G:$G,Reservations!$B:$B,B55))</f>
        <v/>
      </c>
      <c r="K55" s="14" t="str">
        <f aca="false">IF(OR(B55="",G55=""),"",G55-J55)</f>
        <v/>
      </c>
      <c r="L55" s="15" t="str">
        <f aca="false">IF(K55="","",IF(K55&gt;0,"À appeler",IF(K55=0,"Réservé","Trop réservé")))</f>
        <v/>
      </c>
      <c r="M55" s="11"/>
    </row>
    <row r="56" customFormat="false" ht="15" hidden="false" customHeight="false" outlineLevel="0" collapsed="false">
      <c r="A56" s="10"/>
      <c r="B56" s="11"/>
      <c r="C56" s="11"/>
      <c r="D56" s="11"/>
      <c r="E56" s="11"/>
      <c r="F56" s="11"/>
      <c r="G56" s="12"/>
      <c r="H56" s="13" t="str">
        <f aca="false">IF(F56="","",IFERROR(INDEX(Tarifs!$B$2:$B$9,MATCH(F56,Tarifs!$A$2:$A$9,0)),""))</f>
        <v/>
      </c>
      <c r="I56" s="13" t="str">
        <f aca="false">IF(OR(G56="",H56=""),"",G56*H56*(1-IF(G56&gt;=Tarifs!$A$17,Tarifs!$B$17,IF(G56&gt;=Tarifs!$A$16,Tarifs!$B$16,0))))</f>
        <v/>
      </c>
      <c r="J56" s="14" t="str">
        <f aca="false">IF(B56="","",SUMIFS(Reservations!$G:$G,Reservations!$B:$B,B56))</f>
        <v/>
      </c>
      <c r="K56" s="14" t="str">
        <f aca="false">IF(OR(B56="",G56=""),"",G56-J56)</f>
        <v/>
      </c>
      <c r="L56" s="15" t="str">
        <f aca="false">IF(K56="","",IF(K56&gt;0,"À appeler",IF(K56=0,"Réservé","Trop réservé")))</f>
        <v/>
      </c>
      <c r="M56" s="11"/>
    </row>
    <row r="57" customFormat="false" ht="15" hidden="false" customHeight="false" outlineLevel="0" collapsed="false">
      <c r="A57" s="10"/>
      <c r="B57" s="11"/>
      <c r="C57" s="11"/>
      <c r="D57" s="11"/>
      <c r="E57" s="11"/>
      <c r="F57" s="11"/>
      <c r="G57" s="12"/>
      <c r="H57" s="13" t="str">
        <f aca="false">IF(F57="","",IFERROR(INDEX(Tarifs!$B$2:$B$9,MATCH(F57,Tarifs!$A$2:$A$9,0)),""))</f>
        <v/>
      </c>
      <c r="I57" s="13" t="str">
        <f aca="false">IF(OR(G57="",H57=""),"",G57*H57*(1-IF(G57&gt;=Tarifs!$A$17,Tarifs!$B$17,IF(G57&gt;=Tarifs!$A$16,Tarifs!$B$16,0))))</f>
        <v/>
      </c>
      <c r="J57" s="14" t="str">
        <f aca="false">IF(B57="","",SUMIFS(Reservations!$G:$G,Reservations!$B:$B,B57))</f>
        <v/>
      </c>
      <c r="K57" s="14" t="str">
        <f aca="false">IF(OR(B57="",G57=""),"",G57-J57)</f>
        <v/>
      </c>
      <c r="L57" s="15" t="str">
        <f aca="false">IF(K57="","",IF(K57&gt;0,"À appeler",IF(K57=0,"Réservé","Trop réservé")))</f>
        <v/>
      </c>
      <c r="M57" s="11"/>
    </row>
    <row r="58" customFormat="false" ht="15" hidden="false" customHeight="false" outlineLevel="0" collapsed="false">
      <c r="A58" s="10"/>
      <c r="B58" s="11"/>
      <c r="C58" s="11"/>
      <c r="D58" s="11"/>
      <c r="E58" s="11"/>
      <c r="F58" s="11"/>
      <c r="G58" s="12"/>
      <c r="H58" s="13" t="str">
        <f aca="false">IF(F58="","",IFERROR(INDEX(Tarifs!$B$2:$B$9,MATCH(F58,Tarifs!$A$2:$A$9,0)),""))</f>
        <v/>
      </c>
      <c r="I58" s="13" t="str">
        <f aca="false">IF(OR(G58="",H58=""),"",G58*H58*(1-IF(G58&gt;=Tarifs!$A$17,Tarifs!$B$17,IF(G58&gt;=Tarifs!$A$16,Tarifs!$B$16,0))))</f>
        <v/>
      </c>
      <c r="J58" s="14" t="str">
        <f aca="false">IF(B58="","",SUMIFS(Reservations!$G:$G,Reservations!$B:$B,B58))</f>
        <v/>
      </c>
      <c r="K58" s="14" t="str">
        <f aca="false">IF(OR(B58="",G58=""),"",G58-J58)</f>
        <v/>
      </c>
      <c r="L58" s="15" t="str">
        <f aca="false">IF(K58="","",IF(K58&gt;0,"À appeler",IF(K58=0,"Réservé","Trop réservé")))</f>
        <v/>
      </c>
      <c r="M58" s="11"/>
    </row>
    <row r="59" customFormat="false" ht="15" hidden="false" customHeight="false" outlineLevel="0" collapsed="false">
      <c r="A59" s="10"/>
      <c r="B59" s="11"/>
      <c r="C59" s="11"/>
      <c r="D59" s="11"/>
      <c r="E59" s="11"/>
      <c r="F59" s="11"/>
      <c r="G59" s="12"/>
      <c r="H59" s="13" t="str">
        <f aca="false">IF(F59="","",IFERROR(INDEX(Tarifs!$B$2:$B$9,MATCH(F59,Tarifs!$A$2:$A$9,0)),""))</f>
        <v/>
      </c>
      <c r="I59" s="13" t="str">
        <f aca="false">IF(OR(G59="",H59=""),"",G59*H59*(1-IF(G59&gt;=Tarifs!$A$17,Tarifs!$B$17,IF(G59&gt;=Tarifs!$A$16,Tarifs!$B$16,0))))</f>
        <v/>
      </c>
      <c r="J59" s="14" t="str">
        <f aca="false">IF(B59="","",SUMIFS(Reservations!$G:$G,Reservations!$B:$B,B59))</f>
        <v/>
      </c>
      <c r="K59" s="14" t="str">
        <f aca="false">IF(OR(B59="",G59=""),"",G59-J59)</f>
        <v/>
      </c>
      <c r="L59" s="15" t="str">
        <f aca="false">IF(K59="","",IF(K59&gt;0,"À appeler",IF(K59=0,"Réservé","Trop réservé")))</f>
        <v/>
      </c>
      <c r="M59" s="11"/>
    </row>
    <row r="60" customFormat="false" ht="15" hidden="false" customHeight="false" outlineLevel="0" collapsed="false">
      <c r="A60" s="10"/>
      <c r="B60" s="11"/>
      <c r="C60" s="11"/>
      <c r="D60" s="11"/>
      <c r="E60" s="11"/>
      <c r="F60" s="11"/>
      <c r="G60" s="12"/>
      <c r="H60" s="13" t="str">
        <f aca="false">IF(F60="","",IFERROR(INDEX(Tarifs!$B$2:$B$9,MATCH(F60,Tarifs!$A$2:$A$9,0)),""))</f>
        <v/>
      </c>
      <c r="I60" s="13" t="str">
        <f aca="false">IF(OR(G60="",H60=""),"",G60*H60*(1-IF(G60&gt;=Tarifs!$A$17,Tarifs!$B$17,IF(G60&gt;=Tarifs!$A$16,Tarifs!$B$16,0))))</f>
        <v/>
      </c>
      <c r="J60" s="14" t="str">
        <f aca="false">IF(B60="","",SUMIFS(Reservations!$G:$G,Reservations!$B:$B,B60))</f>
        <v/>
      </c>
      <c r="K60" s="14" t="str">
        <f aca="false">IF(OR(B60="",G60=""),"",G60-J60)</f>
        <v/>
      </c>
      <c r="L60" s="15" t="str">
        <f aca="false">IF(K60="","",IF(K60&gt;0,"À appeler",IF(K60=0,"Réservé","Trop réservé")))</f>
        <v/>
      </c>
      <c r="M60" s="11"/>
    </row>
    <row r="61" customFormat="false" ht="15" hidden="false" customHeight="false" outlineLevel="0" collapsed="false">
      <c r="A61" s="10"/>
      <c r="B61" s="11"/>
      <c r="C61" s="11"/>
      <c r="D61" s="11"/>
      <c r="E61" s="11"/>
      <c r="F61" s="11"/>
      <c r="G61" s="12"/>
      <c r="H61" s="13" t="str">
        <f aca="false">IF(F61="","",IFERROR(INDEX(Tarifs!$B$2:$B$9,MATCH(F61,Tarifs!$A$2:$A$9,0)),""))</f>
        <v/>
      </c>
      <c r="I61" s="13" t="str">
        <f aca="false">IF(OR(G61="",H61=""),"",G61*H61*(1-IF(G61&gt;=Tarifs!$A$17,Tarifs!$B$17,IF(G61&gt;=Tarifs!$A$16,Tarifs!$B$16,0))))</f>
        <v/>
      </c>
      <c r="J61" s="14" t="str">
        <f aca="false">IF(B61="","",SUMIFS(Reservations!$G:$G,Reservations!$B:$B,B61))</f>
        <v/>
      </c>
      <c r="K61" s="14" t="str">
        <f aca="false">IF(OR(B61="",G61=""),"",G61-J61)</f>
        <v/>
      </c>
      <c r="L61" s="15" t="str">
        <f aca="false">IF(K61="","",IF(K61&gt;0,"À appeler",IF(K61=0,"Réservé","Trop réservé")))</f>
        <v/>
      </c>
      <c r="M61" s="11"/>
    </row>
    <row r="62" customFormat="false" ht="15" hidden="false" customHeight="false" outlineLevel="0" collapsed="false">
      <c r="A62" s="10"/>
      <c r="B62" s="11"/>
      <c r="C62" s="11"/>
      <c r="D62" s="11"/>
      <c r="E62" s="11"/>
      <c r="F62" s="11"/>
      <c r="G62" s="12"/>
      <c r="H62" s="13" t="str">
        <f aca="false">IF(F62="","",IFERROR(INDEX(Tarifs!$B$2:$B$9,MATCH(F62,Tarifs!$A$2:$A$9,0)),""))</f>
        <v/>
      </c>
      <c r="I62" s="13" t="str">
        <f aca="false">IF(OR(G62="",H62=""),"",G62*H62*(1-IF(G62&gt;=Tarifs!$A$17,Tarifs!$B$17,IF(G62&gt;=Tarifs!$A$16,Tarifs!$B$16,0))))</f>
        <v/>
      </c>
      <c r="J62" s="14" t="str">
        <f aca="false">IF(B62="","",SUMIFS(Reservations!$G:$G,Reservations!$B:$B,B62))</f>
        <v/>
      </c>
      <c r="K62" s="14" t="str">
        <f aca="false">IF(OR(B62="",G62=""),"",G62-J62)</f>
        <v/>
      </c>
      <c r="L62" s="15" t="str">
        <f aca="false">IF(K62="","",IF(K62&gt;0,"À appeler",IF(K62=0,"Réservé","Trop réservé")))</f>
        <v/>
      </c>
      <c r="M62" s="11"/>
    </row>
    <row r="63" customFormat="false" ht="15" hidden="false" customHeight="false" outlineLevel="0" collapsed="false">
      <c r="A63" s="10"/>
      <c r="B63" s="11"/>
      <c r="C63" s="11"/>
      <c r="D63" s="11"/>
      <c r="E63" s="11"/>
      <c r="F63" s="11"/>
      <c r="G63" s="12"/>
      <c r="H63" s="13" t="str">
        <f aca="false">IF(F63="","",IFERROR(INDEX(Tarifs!$B$2:$B$9,MATCH(F63,Tarifs!$A$2:$A$9,0)),""))</f>
        <v/>
      </c>
      <c r="I63" s="13" t="str">
        <f aca="false">IF(OR(G63="",H63=""),"",G63*H63*(1-IF(G63&gt;=Tarifs!$A$17,Tarifs!$B$17,IF(G63&gt;=Tarifs!$A$16,Tarifs!$B$16,0))))</f>
        <v/>
      </c>
      <c r="J63" s="14" t="str">
        <f aca="false">IF(B63="","",SUMIFS(Reservations!$G:$G,Reservations!$B:$B,B63))</f>
        <v/>
      </c>
      <c r="K63" s="14" t="str">
        <f aca="false">IF(OR(B63="",G63=""),"",G63-J63)</f>
        <v/>
      </c>
      <c r="L63" s="15" t="str">
        <f aca="false">IF(K63="","",IF(K63&gt;0,"À appeler",IF(K63=0,"Réservé","Trop réservé")))</f>
        <v/>
      </c>
      <c r="M63" s="11"/>
    </row>
    <row r="64" customFormat="false" ht="15" hidden="false" customHeight="false" outlineLevel="0" collapsed="false">
      <c r="A64" s="10"/>
      <c r="B64" s="11"/>
      <c r="C64" s="11"/>
      <c r="D64" s="11"/>
      <c r="E64" s="11"/>
      <c r="F64" s="11"/>
      <c r="G64" s="12"/>
      <c r="H64" s="13" t="str">
        <f aca="false">IF(F64="","",IFERROR(INDEX(Tarifs!$B$2:$B$9,MATCH(F64,Tarifs!$A$2:$A$9,0)),""))</f>
        <v/>
      </c>
      <c r="I64" s="13" t="str">
        <f aca="false">IF(OR(G64="",H64=""),"",G64*H64*(1-IF(G64&gt;=Tarifs!$A$17,Tarifs!$B$17,IF(G64&gt;=Tarifs!$A$16,Tarifs!$B$16,0))))</f>
        <v/>
      </c>
      <c r="J64" s="14" t="str">
        <f aca="false">IF(B64="","",SUMIFS(Reservations!$G:$G,Reservations!$B:$B,B64))</f>
        <v/>
      </c>
      <c r="K64" s="14" t="str">
        <f aca="false">IF(OR(B64="",G64=""),"",G64-J64)</f>
        <v/>
      </c>
      <c r="L64" s="15" t="str">
        <f aca="false">IF(K64="","",IF(K64&gt;0,"À appeler",IF(K64=0,"Réservé","Trop réservé")))</f>
        <v/>
      </c>
      <c r="M64" s="11"/>
    </row>
    <row r="65" customFormat="false" ht="15" hidden="false" customHeight="false" outlineLevel="0" collapsed="false">
      <c r="A65" s="10"/>
      <c r="B65" s="11"/>
      <c r="C65" s="11"/>
      <c r="D65" s="11"/>
      <c r="E65" s="11"/>
      <c r="F65" s="11"/>
      <c r="G65" s="12"/>
      <c r="H65" s="13" t="str">
        <f aca="false">IF(F65="","",IFERROR(INDEX(Tarifs!$B$2:$B$9,MATCH(F65,Tarifs!$A$2:$A$9,0)),""))</f>
        <v/>
      </c>
      <c r="I65" s="13" t="str">
        <f aca="false">IF(OR(G65="",H65=""),"",G65*H65*(1-IF(G65&gt;=Tarifs!$A$17,Tarifs!$B$17,IF(G65&gt;=Tarifs!$A$16,Tarifs!$B$16,0))))</f>
        <v/>
      </c>
      <c r="J65" s="14" t="str">
        <f aca="false">IF(B65="","",SUMIFS(Reservations!$G:$G,Reservations!$B:$B,B65))</f>
        <v/>
      </c>
      <c r="K65" s="14" t="str">
        <f aca="false">IF(OR(B65="",G65=""),"",G65-J65)</f>
        <v/>
      </c>
      <c r="L65" s="15" t="str">
        <f aca="false">IF(K65="","",IF(K65&gt;0,"À appeler",IF(K65=0,"Réservé","Trop réservé")))</f>
        <v/>
      </c>
      <c r="M65" s="11"/>
    </row>
    <row r="66" customFormat="false" ht="15" hidden="false" customHeight="false" outlineLevel="0" collapsed="false">
      <c r="A66" s="10"/>
      <c r="B66" s="11"/>
      <c r="C66" s="11"/>
      <c r="D66" s="11"/>
      <c r="E66" s="11"/>
      <c r="F66" s="11"/>
      <c r="G66" s="12"/>
      <c r="H66" s="13" t="str">
        <f aca="false">IF(F66="","",IFERROR(INDEX(Tarifs!$B$2:$B$9,MATCH(F66,Tarifs!$A$2:$A$9,0)),""))</f>
        <v/>
      </c>
      <c r="I66" s="13" t="str">
        <f aca="false">IF(OR(G66="",H66=""),"",G66*H66*(1-IF(G66&gt;=Tarifs!$A$17,Tarifs!$B$17,IF(G66&gt;=Tarifs!$A$16,Tarifs!$B$16,0))))</f>
        <v/>
      </c>
      <c r="J66" s="14" t="str">
        <f aca="false">IF(B66="","",SUMIFS(Reservations!$G:$G,Reservations!$B:$B,B66))</f>
        <v/>
      </c>
      <c r="K66" s="14" t="str">
        <f aca="false">IF(OR(B66="",G66=""),"",G66-J66)</f>
        <v/>
      </c>
      <c r="L66" s="15" t="str">
        <f aca="false">IF(K66="","",IF(K66&gt;0,"À appeler",IF(K66=0,"Réservé","Trop réservé")))</f>
        <v/>
      </c>
      <c r="M66" s="11"/>
    </row>
    <row r="67" customFormat="false" ht="15" hidden="false" customHeight="false" outlineLevel="0" collapsed="false">
      <c r="A67" s="10"/>
      <c r="B67" s="11"/>
      <c r="C67" s="11"/>
      <c r="D67" s="11"/>
      <c r="E67" s="11"/>
      <c r="F67" s="11"/>
      <c r="G67" s="12"/>
      <c r="H67" s="13" t="str">
        <f aca="false">IF(F67="","",IFERROR(INDEX(Tarifs!$B$2:$B$9,MATCH(F67,Tarifs!$A$2:$A$9,0)),""))</f>
        <v/>
      </c>
      <c r="I67" s="13" t="str">
        <f aca="false">IF(OR(G67="",H67=""),"",G67*H67*(1-IF(G67&gt;=Tarifs!$A$17,Tarifs!$B$17,IF(G67&gt;=Tarifs!$A$16,Tarifs!$B$16,0))))</f>
        <v/>
      </c>
      <c r="J67" s="14" t="str">
        <f aca="false">IF(B67="","",SUMIFS(Reservations!$G:$G,Reservations!$B:$B,B67))</f>
        <v/>
      </c>
      <c r="K67" s="14" t="str">
        <f aca="false">IF(OR(B67="",G67=""),"",G67-J67)</f>
        <v/>
      </c>
      <c r="L67" s="15" t="str">
        <f aca="false">IF(K67="","",IF(K67&gt;0,"À appeler",IF(K67=0,"Réservé","Trop réservé")))</f>
        <v/>
      </c>
      <c r="M67" s="11"/>
    </row>
    <row r="68" customFormat="false" ht="15" hidden="false" customHeight="false" outlineLevel="0" collapsed="false">
      <c r="A68" s="10"/>
      <c r="B68" s="11"/>
      <c r="C68" s="11"/>
      <c r="D68" s="11"/>
      <c r="E68" s="11"/>
      <c r="F68" s="11"/>
      <c r="G68" s="12"/>
      <c r="H68" s="13" t="str">
        <f aca="false">IF(F68="","",IFERROR(INDEX(Tarifs!$B$2:$B$9,MATCH(F68,Tarifs!$A$2:$A$9,0)),""))</f>
        <v/>
      </c>
      <c r="I68" s="13" t="str">
        <f aca="false">IF(OR(G68="",H68=""),"",G68*H68*(1-IF(G68&gt;=Tarifs!$A$17,Tarifs!$B$17,IF(G68&gt;=Tarifs!$A$16,Tarifs!$B$16,0))))</f>
        <v/>
      </c>
      <c r="J68" s="14" t="str">
        <f aca="false">IF(B68="","",SUMIFS(Reservations!$G:$G,Reservations!$B:$B,B68))</f>
        <v/>
      </c>
      <c r="K68" s="14" t="str">
        <f aca="false">IF(OR(B68="",G68=""),"",G68-J68)</f>
        <v/>
      </c>
      <c r="L68" s="15" t="str">
        <f aca="false">IF(K68="","",IF(K68&gt;0,"À appeler",IF(K68=0,"Réservé","Trop réservé")))</f>
        <v/>
      </c>
      <c r="M68" s="11"/>
    </row>
    <row r="69" customFormat="false" ht="15" hidden="false" customHeight="false" outlineLevel="0" collapsed="false">
      <c r="A69" s="10"/>
      <c r="B69" s="11"/>
      <c r="C69" s="11"/>
      <c r="D69" s="11"/>
      <c r="E69" s="11"/>
      <c r="F69" s="11"/>
      <c r="G69" s="12"/>
      <c r="H69" s="13" t="str">
        <f aca="false">IF(F69="","",IFERROR(INDEX(Tarifs!$B$2:$B$9,MATCH(F69,Tarifs!$A$2:$A$9,0)),""))</f>
        <v/>
      </c>
      <c r="I69" s="13" t="str">
        <f aca="false">IF(OR(G69="",H69=""),"",G69*H69*(1-IF(G69&gt;=Tarifs!$A$17,Tarifs!$B$17,IF(G69&gt;=Tarifs!$A$16,Tarifs!$B$16,0))))</f>
        <v/>
      </c>
      <c r="J69" s="14" t="str">
        <f aca="false">IF(B69="","",SUMIFS(Reservations!$G:$G,Reservations!$B:$B,B69))</f>
        <v/>
      </c>
      <c r="K69" s="14" t="str">
        <f aca="false">IF(OR(B69="",G69=""),"",G69-J69)</f>
        <v/>
      </c>
      <c r="L69" s="15" t="str">
        <f aca="false">IF(K69="","",IF(K69&gt;0,"À appeler",IF(K69=0,"Réservé","Trop réservé")))</f>
        <v/>
      </c>
      <c r="M69" s="11"/>
    </row>
    <row r="70" customFormat="false" ht="15" hidden="false" customHeight="false" outlineLevel="0" collapsed="false">
      <c r="A70" s="10"/>
      <c r="B70" s="11"/>
      <c r="C70" s="11"/>
      <c r="D70" s="11"/>
      <c r="E70" s="11"/>
      <c r="F70" s="11"/>
      <c r="G70" s="12"/>
      <c r="H70" s="13" t="str">
        <f aca="false">IF(F70="","",IFERROR(INDEX(Tarifs!$B$2:$B$9,MATCH(F70,Tarifs!$A$2:$A$9,0)),""))</f>
        <v/>
      </c>
      <c r="I70" s="13" t="str">
        <f aca="false">IF(OR(G70="",H70=""),"",G70*H70*(1-IF(G70&gt;=Tarifs!$A$17,Tarifs!$B$17,IF(G70&gt;=Tarifs!$A$16,Tarifs!$B$16,0))))</f>
        <v/>
      </c>
      <c r="J70" s="14" t="str">
        <f aca="false">IF(B70="","",SUMIFS(Reservations!$G:$G,Reservations!$B:$B,B70))</f>
        <v/>
      </c>
      <c r="K70" s="14" t="str">
        <f aca="false">IF(OR(B70="",G70=""),"",G70-J70)</f>
        <v/>
      </c>
      <c r="L70" s="15" t="str">
        <f aca="false">IF(K70="","",IF(K70&gt;0,"À appeler",IF(K70=0,"Réservé","Trop réservé")))</f>
        <v/>
      </c>
      <c r="M70" s="11"/>
    </row>
    <row r="71" customFormat="false" ht="15" hidden="false" customHeight="false" outlineLevel="0" collapsed="false">
      <c r="A71" s="10"/>
      <c r="B71" s="11"/>
      <c r="C71" s="11"/>
      <c r="D71" s="11"/>
      <c r="E71" s="11"/>
      <c r="F71" s="11"/>
      <c r="G71" s="12"/>
      <c r="H71" s="13" t="str">
        <f aca="false">IF(F71="","",IFERROR(INDEX(Tarifs!$B$2:$B$9,MATCH(F71,Tarifs!$A$2:$A$9,0)),""))</f>
        <v/>
      </c>
      <c r="I71" s="13" t="str">
        <f aca="false">IF(OR(G71="",H71=""),"",G71*H71*(1-IF(G71&gt;=Tarifs!$A$17,Tarifs!$B$17,IF(G71&gt;=Tarifs!$A$16,Tarifs!$B$16,0))))</f>
        <v/>
      </c>
      <c r="J71" s="14" t="str">
        <f aca="false">IF(B71="","",SUMIFS(Reservations!$G:$G,Reservations!$B:$B,B71))</f>
        <v/>
      </c>
      <c r="K71" s="14" t="str">
        <f aca="false">IF(OR(B71="",G71=""),"",G71-J71)</f>
        <v/>
      </c>
      <c r="L71" s="15" t="str">
        <f aca="false">IF(K71="","",IF(K71&gt;0,"À appeler",IF(K71=0,"Réservé","Trop réservé")))</f>
        <v/>
      </c>
      <c r="M71" s="11"/>
    </row>
    <row r="72" customFormat="false" ht="15" hidden="false" customHeight="false" outlineLevel="0" collapsed="false">
      <c r="A72" s="10"/>
      <c r="B72" s="11"/>
      <c r="C72" s="11"/>
      <c r="D72" s="11"/>
      <c r="E72" s="11"/>
      <c r="F72" s="11"/>
      <c r="G72" s="12"/>
      <c r="H72" s="13" t="str">
        <f aca="false">IF(F72="","",IFERROR(INDEX(Tarifs!$B$2:$B$9,MATCH(F72,Tarifs!$A$2:$A$9,0)),""))</f>
        <v/>
      </c>
      <c r="I72" s="13" t="str">
        <f aca="false">IF(OR(G72="",H72=""),"",G72*H72*(1-IF(G72&gt;=Tarifs!$A$17,Tarifs!$B$17,IF(G72&gt;=Tarifs!$A$16,Tarifs!$B$16,0))))</f>
        <v/>
      </c>
      <c r="J72" s="14" t="str">
        <f aca="false">IF(B72="","",SUMIFS(Reservations!$G:$G,Reservations!$B:$B,B72))</f>
        <v/>
      </c>
      <c r="K72" s="14" t="str">
        <f aca="false">IF(OR(B72="",G72=""),"",G72-J72)</f>
        <v/>
      </c>
      <c r="L72" s="15" t="str">
        <f aca="false">IF(K72="","",IF(K72&gt;0,"À appeler",IF(K72=0,"Réservé","Trop réservé")))</f>
        <v/>
      </c>
      <c r="M72" s="11"/>
    </row>
    <row r="73" customFormat="false" ht="15" hidden="false" customHeight="false" outlineLevel="0" collapsed="false">
      <c r="A73" s="10"/>
      <c r="B73" s="11"/>
      <c r="C73" s="11"/>
      <c r="D73" s="11"/>
      <c r="E73" s="11"/>
      <c r="F73" s="11"/>
      <c r="G73" s="12"/>
      <c r="H73" s="13" t="str">
        <f aca="false">IF(F73="","",IFERROR(INDEX(Tarifs!$B$2:$B$9,MATCH(F73,Tarifs!$A$2:$A$9,0)),""))</f>
        <v/>
      </c>
      <c r="I73" s="13" t="str">
        <f aca="false">IF(OR(G73="",H73=""),"",G73*H73*(1-IF(G73&gt;=Tarifs!$A$17,Tarifs!$B$17,IF(G73&gt;=Tarifs!$A$16,Tarifs!$B$16,0))))</f>
        <v/>
      </c>
      <c r="J73" s="14" t="str">
        <f aca="false">IF(B73="","",SUMIFS(Reservations!$G:$G,Reservations!$B:$B,B73))</f>
        <v/>
      </c>
      <c r="K73" s="14" t="str">
        <f aca="false">IF(OR(B73="",G73=""),"",G73-J73)</f>
        <v/>
      </c>
      <c r="L73" s="15" t="str">
        <f aca="false">IF(K73="","",IF(K73&gt;0,"À appeler",IF(K73=0,"Réservé","Trop réservé")))</f>
        <v/>
      </c>
      <c r="M73" s="11"/>
    </row>
    <row r="74" customFormat="false" ht="15" hidden="false" customHeight="false" outlineLevel="0" collapsed="false">
      <c r="A74" s="10"/>
      <c r="B74" s="11"/>
      <c r="C74" s="11"/>
      <c r="D74" s="11"/>
      <c r="E74" s="11"/>
      <c r="F74" s="11"/>
      <c r="G74" s="12"/>
      <c r="H74" s="13" t="str">
        <f aca="false">IF(F74="","",IFERROR(INDEX(Tarifs!$B$2:$B$9,MATCH(F74,Tarifs!$A$2:$A$9,0)),""))</f>
        <v/>
      </c>
      <c r="I74" s="13" t="str">
        <f aca="false">IF(OR(G74="",H74=""),"",G74*H74*(1-IF(G74&gt;=Tarifs!$A$17,Tarifs!$B$17,IF(G74&gt;=Tarifs!$A$16,Tarifs!$B$16,0))))</f>
        <v/>
      </c>
      <c r="J74" s="14" t="str">
        <f aca="false">IF(B74="","",SUMIFS(Reservations!$G:$G,Reservations!$B:$B,B74))</f>
        <v/>
      </c>
      <c r="K74" s="14" t="str">
        <f aca="false">IF(OR(B74="",G74=""),"",G74-J74)</f>
        <v/>
      </c>
      <c r="L74" s="15" t="str">
        <f aca="false">IF(K74="","",IF(K74&gt;0,"À appeler",IF(K74=0,"Réservé","Trop réservé")))</f>
        <v/>
      </c>
      <c r="M74" s="11"/>
    </row>
    <row r="75" customFormat="false" ht="15" hidden="false" customHeight="false" outlineLevel="0" collapsed="false">
      <c r="A75" s="10"/>
      <c r="B75" s="11"/>
      <c r="C75" s="11"/>
      <c r="D75" s="11"/>
      <c r="E75" s="11"/>
      <c r="F75" s="11"/>
      <c r="G75" s="12"/>
      <c r="H75" s="13" t="str">
        <f aca="false">IF(F75="","",IFERROR(INDEX(Tarifs!$B$2:$B$9,MATCH(F75,Tarifs!$A$2:$A$9,0)),""))</f>
        <v/>
      </c>
      <c r="I75" s="13" t="str">
        <f aca="false">IF(OR(G75="",H75=""),"",G75*H75*(1-IF(G75&gt;=Tarifs!$A$17,Tarifs!$B$17,IF(G75&gt;=Tarifs!$A$16,Tarifs!$B$16,0))))</f>
        <v/>
      </c>
      <c r="J75" s="14" t="str">
        <f aca="false">IF(B75="","",SUMIFS(Reservations!$G:$G,Reservations!$B:$B,B75))</f>
        <v/>
      </c>
      <c r="K75" s="14" t="str">
        <f aca="false">IF(OR(B75="",G75=""),"",G75-J75)</f>
        <v/>
      </c>
      <c r="L75" s="15" t="str">
        <f aca="false">IF(K75="","",IF(K75&gt;0,"À appeler",IF(K75=0,"Réservé","Trop réservé")))</f>
        <v/>
      </c>
      <c r="M75" s="11"/>
    </row>
    <row r="76" customFormat="false" ht="15" hidden="false" customHeight="false" outlineLevel="0" collapsed="false">
      <c r="A76" s="10"/>
      <c r="B76" s="11"/>
      <c r="C76" s="11"/>
      <c r="D76" s="11"/>
      <c r="E76" s="11"/>
      <c r="F76" s="11"/>
      <c r="G76" s="12"/>
      <c r="H76" s="13" t="str">
        <f aca="false">IF(F76="","",IFERROR(INDEX(Tarifs!$B$2:$B$9,MATCH(F76,Tarifs!$A$2:$A$9,0)),""))</f>
        <v/>
      </c>
      <c r="I76" s="13" t="str">
        <f aca="false">IF(OR(G76="",H76=""),"",G76*H76*(1-IF(G76&gt;=Tarifs!$A$17,Tarifs!$B$17,IF(G76&gt;=Tarifs!$A$16,Tarifs!$B$16,0))))</f>
        <v/>
      </c>
      <c r="J76" s="14" t="str">
        <f aca="false">IF(B76="","",SUMIFS(Reservations!$G:$G,Reservations!$B:$B,B76))</f>
        <v/>
      </c>
      <c r="K76" s="14" t="str">
        <f aca="false">IF(OR(B76="",G76=""),"",G76-J76)</f>
        <v/>
      </c>
      <c r="L76" s="15" t="str">
        <f aca="false">IF(K76="","",IF(K76&gt;0,"À appeler",IF(K76=0,"Réservé","Trop réservé")))</f>
        <v/>
      </c>
      <c r="M76" s="11"/>
    </row>
    <row r="77" customFormat="false" ht="15" hidden="false" customHeight="false" outlineLevel="0" collapsed="false">
      <c r="A77" s="10"/>
      <c r="B77" s="11"/>
      <c r="C77" s="11"/>
      <c r="D77" s="11"/>
      <c r="E77" s="11"/>
      <c r="F77" s="11"/>
      <c r="G77" s="12"/>
      <c r="H77" s="13" t="str">
        <f aca="false">IF(F77="","",IFERROR(INDEX(Tarifs!$B$2:$B$9,MATCH(F77,Tarifs!$A$2:$A$9,0)),""))</f>
        <v/>
      </c>
      <c r="I77" s="13" t="str">
        <f aca="false">IF(OR(G77="",H77=""),"",G77*H77*(1-IF(G77&gt;=Tarifs!$A$17,Tarifs!$B$17,IF(G77&gt;=Tarifs!$A$16,Tarifs!$B$16,0))))</f>
        <v/>
      </c>
      <c r="J77" s="14" t="str">
        <f aca="false">IF(B77="","",SUMIFS(Reservations!$G:$G,Reservations!$B:$B,B77))</f>
        <v/>
      </c>
      <c r="K77" s="14" t="str">
        <f aca="false">IF(OR(B77="",G77=""),"",G77-J77)</f>
        <v/>
      </c>
      <c r="L77" s="15" t="str">
        <f aca="false">IF(K77="","",IF(K77&gt;0,"À appeler",IF(K77=0,"Réservé","Trop réservé")))</f>
        <v/>
      </c>
      <c r="M77" s="11"/>
    </row>
    <row r="78" customFormat="false" ht="15" hidden="false" customHeight="false" outlineLevel="0" collapsed="false">
      <c r="A78" s="10"/>
      <c r="B78" s="11"/>
      <c r="C78" s="11"/>
      <c r="D78" s="11"/>
      <c r="E78" s="11"/>
      <c r="F78" s="11"/>
      <c r="G78" s="12"/>
      <c r="H78" s="13" t="str">
        <f aca="false">IF(F78="","",IFERROR(INDEX(Tarifs!$B$2:$B$9,MATCH(F78,Tarifs!$A$2:$A$9,0)),""))</f>
        <v/>
      </c>
      <c r="I78" s="13" t="str">
        <f aca="false">IF(OR(G78="",H78=""),"",G78*H78*(1-IF(G78&gt;=Tarifs!$A$17,Tarifs!$B$17,IF(G78&gt;=Tarifs!$A$16,Tarifs!$B$16,0))))</f>
        <v/>
      </c>
      <c r="J78" s="14" t="str">
        <f aca="false">IF(B78="","",SUMIFS(Reservations!$G:$G,Reservations!$B:$B,B78))</f>
        <v/>
      </c>
      <c r="K78" s="14" t="str">
        <f aca="false">IF(OR(B78="",G78=""),"",G78-J78)</f>
        <v/>
      </c>
      <c r="L78" s="15" t="str">
        <f aca="false">IF(K78="","",IF(K78&gt;0,"À appeler",IF(K78=0,"Réservé","Trop réservé")))</f>
        <v/>
      </c>
      <c r="M78" s="11"/>
    </row>
    <row r="79" customFormat="false" ht="15" hidden="false" customHeight="false" outlineLevel="0" collapsed="false">
      <c r="A79" s="10"/>
      <c r="B79" s="11"/>
      <c r="C79" s="11"/>
      <c r="D79" s="11"/>
      <c r="E79" s="11"/>
      <c r="F79" s="11"/>
      <c r="G79" s="12"/>
      <c r="H79" s="13" t="str">
        <f aca="false">IF(F79="","",IFERROR(INDEX(Tarifs!$B$2:$B$9,MATCH(F79,Tarifs!$A$2:$A$9,0)),""))</f>
        <v/>
      </c>
      <c r="I79" s="13" t="str">
        <f aca="false">IF(OR(G79="",H79=""),"",G79*H79*(1-IF(G79&gt;=Tarifs!$A$17,Tarifs!$B$17,IF(G79&gt;=Tarifs!$A$16,Tarifs!$B$16,0))))</f>
        <v/>
      </c>
      <c r="J79" s="14" t="str">
        <f aca="false">IF(B79="","",SUMIFS(Reservations!$G:$G,Reservations!$B:$B,B79))</f>
        <v/>
      </c>
      <c r="K79" s="14" t="str">
        <f aca="false">IF(OR(B79="",G79=""),"",G79-J79)</f>
        <v/>
      </c>
      <c r="L79" s="15" t="str">
        <f aca="false">IF(K79="","",IF(K79&gt;0,"À appeler",IF(K79=0,"Réservé","Trop réservé")))</f>
        <v/>
      </c>
      <c r="M79" s="11"/>
    </row>
    <row r="80" customFormat="false" ht="15" hidden="false" customHeight="false" outlineLevel="0" collapsed="false">
      <c r="A80" s="10"/>
      <c r="B80" s="11"/>
      <c r="C80" s="11"/>
      <c r="D80" s="11"/>
      <c r="E80" s="11"/>
      <c r="F80" s="11"/>
      <c r="G80" s="12"/>
      <c r="H80" s="13" t="str">
        <f aca="false">IF(F80="","",IFERROR(INDEX(Tarifs!$B$2:$B$9,MATCH(F80,Tarifs!$A$2:$A$9,0)),""))</f>
        <v/>
      </c>
      <c r="I80" s="13" t="str">
        <f aca="false">IF(OR(G80="",H80=""),"",G80*H80*(1-IF(G80&gt;=Tarifs!$A$17,Tarifs!$B$17,IF(G80&gt;=Tarifs!$A$16,Tarifs!$B$16,0))))</f>
        <v/>
      </c>
      <c r="J80" s="14" t="str">
        <f aca="false">IF(B80="","",SUMIFS(Reservations!$G:$G,Reservations!$B:$B,B80))</f>
        <v/>
      </c>
      <c r="K80" s="14" t="str">
        <f aca="false">IF(OR(B80="",G80=""),"",G80-J80)</f>
        <v/>
      </c>
      <c r="L80" s="15" t="str">
        <f aca="false">IF(K80="","",IF(K80&gt;0,"À appeler",IF(K80=0,"Réservé","Trop réservé")))</f>
        <v/>
      </c>
      <c r="M80" s="11"/>
    </row>
    <row r="81" customFormat="false" ht="15" hidden="false" customHeight="false" outlineLevel="0" collapsed="false">
      <c r="A81" s="10"/>
      <c r="B81" s="11"/>
      <c r="C81" s="11"/>
      <c r="D81" s="11"/>
      <c r="E81" s="11"/>
      <c r="F81" s="11"/>
      <c r="G81" s="12"/>
      <c r="H81" s="13" t="str">
        <f aca="false">IF(F81="","",IFERROR(INDEX(Tarifs!$B$2:$B$9,MATCH(F81,Tarifs!$A$2:$A$9,0)),""))</f>
        <v/>
      </c>
      <c r="I81" s="13" t="str">
        <f aca="false">IF(OR(G81="",H81=""),"",G81*H81*(1-IF(G81&gt;=Tarifs!$A$17,Tarifs!$B$17,IF(G81&gt;=Tarifs!$A$16,Tarifs!$B$16,0))))</f>
        <v/>
      </c>
      <c r="J81" s="14" t="str">
        <f aca="false">IF(B81="","",SUMIFS(Reservations!$G:$G,Reservations!$B:$B,B81))</f>
        <v/>
      </c>
      <c r="K81" s="14" t="str">
        <f aca="false">IF(OR(B81="",G81=""),"",G81-J81)</f>
        <v/>
      </c>
      <c r="L81" s="15" t="str">
        <f aca="false">IF(K81="","",IF(K81&gt;0,"À appeler",IF(K81=0,"Réservé","Trop réservé")))</f>
        <v/>
      </c>
      <c r="M81" s="11"/>
    </row>
    <row r="82" customFormat="false" ht="15" hidden="false" customHeight="false" outlineLevel="0" collapsed="false">
      <c r="A82" s="10"/>
      <c r="B82" s="11"/>
      <c r="C82" s="11"/>
      <c r="D82" s="11"/>
      <c r="E82" s="11"/>
      <c r="F82" s="11"/>
      <c r="G82" s="12"/>
      <c r="H82" s="13" t="str">
        <f aca="false">IF(F82="","",IFERROR(INDEX(Tarifs!$B$2:$B$9,MATCH(F82,Tarifs!$A$2:$A$9,0)),""))</f>
        <v/>
      </c>
      <c r="I82" s="13" t="str">
        <f aca="false">IF(OR(G82="",H82=""),"",G82*H82*(1-IF(G82&gt;=Tarifs!$A$17,Tarifs!$B$17,IF(G82&gt;=Tarifs!$A$16,Tarifs!$B$16,0))))</f>
        <v/>
      </c>
      <c r="J82" s="14" t="str">
        <f aca="false">IF(B82="","",SUMIFS(Reservations!$G:$G,Reservations!$B:$B,B82))</f>
        <v/>
      </c>
      <c r="K82" s="14" t="str">
        <f aca="false">IF(OR(B82="",G82=""),"",G82-J82)</f>
        <v/>
      </c>
      <c r="L82" s="15" t="str">
        <f aca="false">IF(K82="","",IF(K82&gt;0,"À appeler",IF(K82=0,"Réservé","Trop réservé")))</f>
        <v/>
      </c>
      <c r="M82" s="11"/>
    </row>
    <row r="83" customFormat="false" ht="15" hidden="false" customHeight="false" outlineLevel="0" collapsed="false">
      <c r="A83" s="10"/>
      <c r="B83" s="11"/>
      <c r="C83" s="11"/>
      <c r="D83" s="11"/>
      <c r="E83" s="11"/>
      <c r="F83" s="11"/>
      <c r="G83" s="12"/>
      <c r="H83" s="13" t="str">
        <f aca="false">IF(F83="","",IFERROR(INDEX(Tarifs!$B$2:$B$9,MATCH(F83,Tarifs!$A$2:$A$9,0)),""))</f>
        <v/>
      </c>
      <c r="I83" s="13" t="str">
        <f aca="false">IF(OR(G83="",H83=""),"",G83*H83*(1-IF(G83&gt;=Tarifs!$A$17,Tarifs!$B$17,IF(G83&gt;=Tarifs!$A$16,Tarifs!$B$16,0))))</f>
        <v/>
      </c>
      <c r="J83" s="14" t="str">
        <f aca="false">IF(B83="","",SUMIFS(Reservations!$G:$G,Reservations!$B:$B,B83))</f>
        <v/>
      </c>
      <c r="K83" s="14" t="str">
        <f aca="false">IF(OR(B83="",G83=""),"",G83-J83)</f>
        <v/>
      </c>
      <c r="L83" s="15" t="str">
        <f aca="false">IF(K83="","",IF(K83&gt;0,"À appeler",IF(K83=0,"Réservé","Trop réservé")))</f>
        <v/>
      </c>
      <c r="M83" s="11"/>
    </row>
    <row r="84" customFormat="false" ht="15" hidden="false" customHeight="false" outlineLevel="0" collapsed="false">
      <c r="A84" s="10"/>
      <c r="B84" s="11"/>
      <c r="C84" s="11"/>
      <c r="D84" s="11"/>
      <c r="E84" s="11"/>
      <c r="F84" s="11"/>
      <c r="G84" s="12"/>
      <c r="H84" s="13" t="str">
        <f aca="false">IF(F84="","",IFERROR(INDEX(Tarifs!$B$2:$B$9,MATCH(F84,Tarifs!$A$2:$A$9,0)),""))</f>
        <v/>
      </c>
      <c r="I84" s="13" t="str">
        <f aca="false">IF(OR(G84="",H84=""),"",G84*H84*(1-IF(G84&gt;=Tarifs!$A$17,Tarifs!$B$17,IF(G84&gt;=Tarifs!$A$16,Tarifs!$B$16,0))))</f>
        <v/>
      </c>
      <c r="J84" s="14" t="str">
        <f aca="false">IF(B84="","",SUMIFS(Reservations!$G:$G,Reservations!$B:$B,B84))</f>
        <v/>
      </c>
      <c r="K84" s="14" t="str">
        <f aca="false">IF(OR(B84="",G84=""),"",G84-J84)</f>
        <v/>
      </c>
      <c r="L84" s="15" t="str">
        <f aca="false">IF(K84="","",IF(K84&gt;0,"À appeler",IF(K84=0,"Réservé","Trop réservé")))</f>
        <v/>
      </c>
      <c r="M84" s="11"/>
    </row>
    <row r="85" customFormat="false" ht="15" hidden="false" customHeight="false" outlineLevel="0" collapsed="false">
      <c r="A85" s="10"/>
      <c r="B85" s="11"/>
      <c r="C85" s="11"/>
      <c r="D85" s="11"/>
      <c r="E85" s="11"/>
      <c r="F85" s="11"/>
      <c r="G85" s="12"/>
      <c r="H85" s="13" t="str">
        <f aca="false">IF(F85="","",IFERROR(INDEX(Tarifs!$B$2:$B$9,MATCH(F85,Tarifs!$A$2:$A$9,0)),""))</f>
        <v/>
      </c>
      <c r="I85" s="13" t="str">
        <f aca="false">IF(OR(G85="",H85=""),"",G85*H85*(1-IF(G85&gt;=Tarifs!$A$17,Tarifs!$B$17,IF(G85&gt;=Tarifs!$A$16,Tarifs!$B$16,0))))</f>
        <v/>
      </c>
      <c r="J85" s="14" t="str">
        <f aca="false">IF(B85="","",SUMIFS(Reservations!$G:$G,Reservations!$B:$B,B85))</f>
        <v/>
      </c>
      <c r="K85" s="14" t="str">
        <f aca="false">IF(OR(B85="",G85=""),"",G85-J85)</f>
        <v/>
      </c>
      <c r="L85" s="15" t="str">
        <f aca="false">IF(K85="","",IF(K85&gt;0,"À appeler",IF(K85=0,"Réservé","Trop réservé")))</f>
        <v/>
      </c>
      <c r="M85" s="11"/>
    </row>
    <row r="86" customFormat="false" ht="15" hidden="false" customHeight="false" outlineLevel="0" collapsed="false">
      <c r="A86" s="10"/>
      <c r="B86" s="11"/>
      <c r="C86" s="11"/>
      <c r="D86" s="11"/>
      <c r="E86" s="11"/>
      <c r="F86" s="11"/>
      <c r="G86" s="12"/>
      <c r="H86" s="13" t="str">
        <f aca="false">IF(F86="","",IFERROR(INDEX(Tarifs!$B$2:$B$9,MATCH(F86,Tarifs!$A$2:$A$9,0)),""))</f>
        <v/>
      </c>
      <c r="I86" s="13" t="str">
        <f aca="false">IF(OR(G86="",H86=""),"",G86*H86*(1-IF(G86&gt;=Tarifs!$A$17,Tarifs!$B$17,IF(G86&gt;=Tarifs!$A$16,Tarifs!$B$16,0))))</f>
        <v/>
      </c>
      <c r="J86" s="14" t="str">
        <f aca="false">IF(B86="","",SUMIFS(Reservations!$G:$G,Reservations!$B:$B,B86))</f>
        <v/>
      </c>
      <c r="K86" s="14" t="str">
        <f aca="false">IF(OR(B86="",G86=""),"",G86-J86)</f>
        <v/>
      </c>
      <c r="L86" s="15" t="str">
        <f aca="false">IF(K86="","",IF(K86&gt;0,"À appeler",IF(K86=0,"Réservé","Trop réservé")))</f>
        <v/>
      </c>
      <c r="M86" s="11"/>
    </row>
    <row r="87" customFormat="false" ht="15" hidden="false" customHeight="false" outlineLevel="0" collapsed="false">
      <c r="A87" s="10"/>
      <c r="B87" s="11"/>
      <c r="C87" s="11"/>
      <c r="D87" s="11"/>
      <c r="E87" s="11"/>
      <c r="F87" s="11"/>
      <c r="G87" s="12"/>
      <c r="H87" s="13" t="str">
        <f aca="false">IF(F87="","",IFERROR(INDEX(Tarifs!$B$2:$B$9,MATCH(F87,Tarifs!$A$2:$A$9,0)),""))</f>
        <v/>
      </c>
      <c r="I87" s="13" t="str">
        <f aca="false">IF(OR(G87="",H87=""),"",G87*H87*(1-IF(G87&gt;=Tarifs!$A$17,Tarifs!$B$17,IF(G87&gt;=Tarifs!$A$16,Tarifs!$B$16,0))))</f>
        <v/>
      </c>
      <c r="J87" s="14" t="str">
        <f aca="false">IF(B87="","",SUMIFS(Reservations!$G:$G,Reservations!$B:$B,B87))</f>
        <v/>
      </c>
      <c r="K87" s="14" t="str">
        <f aca="false">IF(OR(B87="",G87=""),"",G87-J87)</f>
        <v/>
      </c>
      <c r="L87" s="15" t="str">
        <f aca="false">IF(K87="","",IF(K87&gt;0,"À appeler",IF(K87=0,"Réservé","Trop réservé")))</f>
        <v/>
      </c>
      <c r="M87" s="11"/>
    </row>
    <row r="88" customFormat="false" ht="15" hidden="false" customHeight="false" outlineLevel="0" collapsed="false">
      <c r="A88" s="10"/>
      <c r="B88" s="11"/>
      <c r="C88" s="11"/>
      <c r="D88" s="11"/>
      <c r="E88" s="11"/>
      <c r="F88" s="11"/>
      <c r="G88" s="12"/>
      <c r="H88" s="13" t="str">
        <f aca="false">IF(F88="","",IFERROR(INDEX(Tarifs!$B$2:$B$9,MATCH(F88,Tarifs!$A$2:$A$9,0)),""))</f>
        <v/>
      </c>
      <c r="I88" s="13" t="str">
        <f aca="false">IF(OR(G88="",H88=""),"",G88*H88*(1-IF(G88&gt;=Tarifs!$A$17,Tarifs!$B$17,IF(G88&gt;=Tarifs!$A$16,Tarifs!$B$16,0))))</f>
        <v/>
      </c>
      <c r="J88" s="14" t="str">
        <f aca="false">IF(B88="","",SUMIFS(Reservations!$G:$G,Reservations!$B:$B,B88))</f>
        <v/>
      </c>
      <c r="K88" s="14" t="str">
        <f aca="false">IF(OR(B88="",G88=""),"",G88-J88)</f>
        <v/>
      </c>
      <c r="L88" s="15" t="str">
        <f aca="false">IF(K88="","",IF(K88&gt;0,"À appeler",IF(K88=0,"Réservé","Trop réservé")))</f>
        <v/>
      </c>
      <c r="M88" s="11"/>
    </row>
    <row r="89" customFormat="false" ht="15" hidden="false" customHeight="false" outlineLevel="0" collapsed="false">
      <c r="A89" s="10"/>
      <c r="B89" s="11"/>
      <c r="C89" s="11"/>
      <c r="D89" s="11"/>
      <c r="E89" s="11"/>
      <c r="F89" s="11"/>
      <c r="G89" s="12"/>
      <c r="H89" s="13" t="str">
        <f aca="false">IF(F89="","",IFERROR(INDEX(Tarifs!$B$2:$B$9,MATCH(F89,Tarifs!$A$2:$A$9,0)),""))</f>
        <v/>
      </c>
      <c r="I89" s="13" t="str">
        <f aca="false">IF(OR(G89="",H89=""),"",G89*H89*(1-IF(G89&gt;=Tarifs!$A$17,Tarifs!$B$17,IF(G89&gt;=Tarifs!$A$16,Tarifs!$B$16,0))))</f>
        <v/>
      </c>
      <c r="J89" s="14" t="str">
        <f aca="false">IF(B89="","",SUMIFS(Reservations!$G:$G,Reservations!$B:$B,B89))</f>
        <v/>
      </c>
      <c r="K89" s="14" t="str">
        <f aca="false">IF(OR(B89="",G89=""),"",G89-J89)</f>
        <v/>
      </c>
      <c r="L89" s="15" t="str">
        <f aca="false">IF(K89="","",IF(K89&gt;0,"À appeler",IF(K89=0,"Réservé","Trop réservé")))</f>
        <v/>
      </c>
      <c r="M89" s="11"/>
    </row>
    <row r="90" customFormat="false" ht="15" hidden="false" customHeight="false" outlineLevel="0" collapsed="false">
      <c r="A90" s="10"/>
      <c r="B90" s="11"/>
      <c r="C90" s="11"/>
      <c r="D90" s="11"/>
      <c r="E90" s="11"/>
      <c r="F90" s="11"/>
      <c r="G90" s="12"/>
      <c r="H90" s="13" t="str">
        <f aca="false">IF(F90="","",IFERROR(INDEX(Tarifs!$B$2:$B$9,MATCH(F90,Tarifs!$A$2:$A$9,0)),""))</f>
        <v/>
      </c>
      <c r="I90" s="13" t="str">
        <f aca="false">IF(OR(G90="",H90=""),"",G90*H90*(1-IF(G90&gt;=Tarifs!$A$17,Tarifs!$B$17,IF(G90&gt;=Tarifs!$A$16,Tarifs!$B$16,0))))</f>
        <v/>
      </c>
      <c r="J90" s="14" t="str">
        <f aca="false">IF(B90="","",SUMIFS(Reservations!$G:$G,Reservations!$B:$B,B90))</f>
        <v/>
      </c>
      <c r="K90" s="14" t="str">
        <f aca="false">IF(OR(B90="",G90=""),"",G90-J90)</f>
        <v/>
      </c>
      <c r="L90" s="15" t="str">
        <f aca="false">IF(K90="","",IF(K90&gt;0,"À appeler",IF(K90=0,"Réservé","Trop réservé")))</f>
        <v/>
      </c>
      <c r="M90" s="11"/>
    </row>
    <row r="91" customFormat="false" ht="15" hidden="false" customHeight="false" outlineLevel="0" collapsed="false">
      <c r="A91" s="10"/>
      <c r="B91" s="11"/>
      <c r="C91" s="11"/>
      <c r="D91" s="11"/>
      <c r="E91" s="11"/>
      <c r="F91" s="11"/>
      <c r="G91" s="12"/>
      <c r="H91" s="13" t="str">
        <f aca="false">IF(F91="","",IFERROR(INDEX(Tarifs!$B$2:$B$9,MATCH(F91,Tarifs!$A$2:$A$9,0)),""))</f>
        <v/>
      </c>
      <c r="I91" s="13" t="str">
        <f aca="false">IF(OR(G91="",H91=""),"",G91*H91*(1-IF(G91&gt;=Tarifs!$A$17,Tarifs!$B$17,IF(G91&gt;=Tarifs!$A$16,Tarifs!$B$16,0))))</f>
        <v/>
      </c>
      <c r="J91" s="14" t="str">
        <f aca="false">IF(B91="","",SUMIFS(Reservations!$G:$G,Reservations!$B:$B,B91))</f>
        <v/>
      </c>
      <c r="K91" s="14" t="str">
        <f aca="false">IF(OR(B91="",G91=""),"",G91-J91)</f>
        <v/>
      </c>
      <c r="L91" s="15" t="str">
        <f aca="false">IF(K91="","",IF(K91&gt;0,"À appeler",IF(K91=0,"Réservé","Trop réservé")))</f>
        <v/>
      </c>
      <c r="M91" s="11"/>
    </row>
    <row r="92" customFormat="false" ht="15" hidden="false" customHeight="false" outlineLevel="0" collapsed="false">
      <c r="A92" s="10"/>
      <c r="B92" s="11"/>
      <c r="C92" s="11"/>
      <c r="D92" s="11"/>
      <c r="E92" s="11"/>
      <c r="F92" s="11"/>
      <c r="G92" s="12"/>
      <c r="H92" s="13" t="str">
        <f aca="false">IF(F92="","",IFERROR(INDEX(Tarifs!$B$2:$B$9,MATCH(F92,Tarifs!$A$2:$A$9,0)),""))</f>
        <v/>
      </c>
      <c r="I92" s="13" t="str">
        <f aca="false">IF(OR(G92="",H92=""),"",G92*H92*(1-IF(G92&gt;=Tarifs!$A$17,Tarifs!$B$17,IF(G92&gt;=Tarifs!$A$16,Tarifs!$B$16,0))))</f>
        <v/>
      </c>
      <c r="J92" s="14" t="str">
        <f aca="false">IF(B92="","",SUMIFS(Reservations!$G:$G,Reservations!$B:$B,B92))</f>
        <v/>
      </c>
      <c r="K92" s="14" t="str">
        <f aca="false">IF(OR(B92="",G92=""),"",G92-J92)</f>
        <v/>
      </c>
      <c r="L92" s="15" t="str">
        <f aca="false">IF(K92="","",IF(K92&gt;0,"À appeler",IF(K92=0,"Réservé","Trop réservé")))</f>
        <v/>
      </c>
      <c r="M92" s="11"/>
    </row>
    <row r="93" customFormat="false" ht="15" hidden="false" customHeight="false" outlineLevel="0" collapsed="false">
      <c r="A93" s="10"/>
      <c r="B93" s="11"/>
      <c r="C93" s="11"/>
      <c r="D93" s="11"/>
      <c r="E93" s="11"/>
      <c r="F93" s="11"/>
      <c r="G93" s="12"/>
      <c r="H93" s="13" t="str">
        <f aca="false">IF(F93="","",IFERROR(INDEX(Tarifs!$B$2:$B$9,MATCH(F93,Tarifs!$A$2:$A$9,0)),""))</f>
        <v/>
      </c>
      <c r="I93" s="13" t="str">
        <f aca="false">IF(OR(G93="",H93=""),"",G93*H93*(1-IF(G93&gt;=Tarifs!$A$17,Tarifs!$B$17,IF(G93&gt;=Tarifs!$A$16,Tarifs!$B$16,0))))</f>
        <v/>
      </c>
      <c r="J93" s="14" t="str">
        <f aca="false">IF(B93="","",SUMIFS(Reservations!$G:$G,Reservations!$B:$B,B93))</f>
        <v/>
      </c>
      <c r="K93" s="14" t="str">
        <f aca="false">IF(OR(B93="",G93=""),"",G93-J93)</f>
        <v/>
      </c>
      <c r="L93" s="15" t="str">
        <f aca="false">IF(K93="","",IF(K93&gt;0,"À appeler",IF(K93=0,"Réservé","Trop réservé")))</f>
        <v/>
      </c>
      <c r="M93" s="11"/>
    </row>
    <row r="94" customFormat="false" ht="15" hidden="false" customHeight="false" outlineLevel="0" collapsed="false">
      <c r="A94" s="10"/>
      <c r="B94" s="11"/>
      <c r="C94" s="11"/>
      <c r="D94" s="11"/>
      <c r="E94" s="11"/>
      <c r="F94" s="11"/>
      <c r="G94" s="12"/>
      <c r="H94" s="13" t="str">
        <f aca="false">IF(F94="","",IFERROR(INDEX(Tarifs!$B$2:$B$9,MATCH(F94,Tarifs!$A$2:$A$9,0)),""))</f>
        <v/>
      </c>
      <c r="I94" s="13" t="str">
        <f aca="false">IF(OR(G94="",H94=""),"",G94*H94*(1-IF(G94&gt;=Tarifs!$A$17,Tarifs!$B$17,IF(G94&gt;=Tarifs!$A$16,Tarifs!$B$16,0))))</f>
        <v/>
      </c>
      <c r="J94" s="14" t="str">
        <f aca="false">IF(B94="","",SUMIFS(Reservations!$G:$G,Reservations!$B:$B,B94))</f>
        <v/>
      </c>
      <c r="K94" s="14" t="str">
        <f aca="false">IF(OR(B94="",G94=""),"",G94-J94)</f>
        <v/>
      </c>
      <c r="L94" s="15" t="str">
        <f aca="false">IF(K94="","",IF(K94&gt;0,"À appeler",IF(K94=0,"Réservé","Trop réservé")))</f>
        <v/>
      </c>
      <c r="M94" s="11"/>
    </row>
    <row r="95" customFormat="false" ht="15" hidden="false" customHeight="false" outlineLevel="0" collapsed="false">
      <c r="A95" s="10"/>
      <c r="B95" s="11"/>
      <c r="C95" s="11"/>
      <c r="D95" s="11"/>
      <c r="E95" s="11"/>
      <c r="F95" s="11"/>
      <c r="G95" s="12"/>
      <c r="H95" s="13" t="str">
        <f aca="false">IF(F95="","",IFERROR(INDEX(Tarifs!$B$2:$B$9,MATCH(F95,Tarifs!$A$2:$A$9,0)),""))</f>
        <v/>
      </c>
      <c r="I95" s="13" t="str">
        <f aca="false">IF(OR(G95="",H95=""),"",G95*H95*(1-IF(G95&gt;=Tarifs!$A$17,Tarifs!$B$17,IF(G95&gt;=Tarifs!$A$16,Tarifs!$B$16,0))))</f>
        <v/>
      </c>
      <c r="J95" s="14" t="str">
        <f aca="false">IF(B95="","",SUMIFS(Reservations!$G:$G,Reservations!$B:$B,B95))</f>
        <v/>
      </c>
      <c r="K95" s="14" t="str">
        <f aca="false">IF(OR(B95="",G95=""),"",G95-J95)</f>
        <v/>
      </c>
      <c r="L95" s="15" t="str">
        <f aca="false">IF(K95="","",IF(K95&gt;0,"À appeler",IF(K95=0,"Réservé","Trop réservé")))</f>
        <v/>
      </c>
      <c r="M95" s="11"/>
    </row>
    <row r="96" customFormat="false" ht="15" hidden="false" customHeight="false" outlineLevel="0" collapsed="false">
      <c r="A96" s="10"/>
      <c r="B96" s="11"/>
      <c r="C96" s="11"/>
      <c r="D96" s="11"/>
      <c r="E96" s="11"/>
      <c r="F96" s="11"/>
      <c r="G96" s="12"/>
      <c r="H96" s="13" t="str">
        <f aca="false">IF(F96="","",IFERROR(INDEX(Tarifs!$B$2:$B$9,MATCH(F96,Tarifs!$A$2:$A$9,0)),""))</f>
        <v/>
      </c>
      <c r="I96" s="13" t="str">
        <f aca="false">IF(OR(G96="",H96=""),"",G96*H96*(1-IF(G96&gt;=Tarifs!$A$17,Tarifs!$B$17,IF(G96&gt;=Tarifs!$A$16,Tarifs!$B$16,0))))</f>
        <v/>
      </c>
      <c r="J96" s="14" t="str">
        <f aca="false">IF(B96="","",SUMIFS(Reservations!$G:$G,Reservations!$B:$B,B96))</f>
        <v/>
      </c>
      <c r="K96" s="14" t="str">
        <f aca="false">IF(OR(B96="",G96=""),"",G96-J96)</f>
        <v/>
      </c>
      <c r="L96" s="15" t="str">
        <f aca="false">IF(K96="","",IF(K96&gt;0,"À appeler",IF(K96=0,"Réservé","Trop réservé")))</f>
        <v/>
      </c>
      <c r="M96" s="11"/>
    </row>
    <row r="97" customFormat="false" ht="15" hidden="false" customHeight="false" outlineLevel="0" collapsed="false">
      <c r="A97" s="10"/>
      <c r="B97" s="11"/>
      <c r="C97" s="11"/>
      <c r="D97" s="11"/>
      <c r="E97" s="11"/>
      <c r="F97" s="11"/>
      <c r="G97" s="12"/>
      <c r="H97" s="13" t="str">
        <f aca="false">IF(F97="","",IFERROR(INDEX(Tarifs!$B$2:$B$9,MATCH(F97,Tarifs!$A$2:$A$9,0)),""))</f>
        <v/>
      </c>
      <c r="I97" s="13" t="str">
        <f aca="false">IF(OR(G97="",H97=""),"",G97*H97*(1-IF(G97&gt;=Tarifs!$A$17,Tarifs!$B$17,IF(G97&gt;=Tarifs!$A$16,Tarifs!$B$16,0))))</f>
        <v/>
      </c>
      <c r="J97" s="14" t="str">
        <f aca="false">IF(B97="","",SUMIFS(Reservations!$G:$G,Reservations!$B:$B,B97))</f>
        <v/>
      </c>
      <c r="K97" s="14" t="str">
        <f aca="false">IF(OR(B97="",G97=""),"",G97-J97)</f>
        <v/>
      </c>
      <c r="L97" s="15" t="str">
        <f aca="false">IF(K97="","",IF(K97&gt;0,"À appeler",IF(K97=0,"Réservé","Trop réservé")))</f>
        <v/>
      </c>
      <c r="M97" s="11"/>
    </row>
    <row r="98" customFormat="false" ht="15" hidden="false" customHeight="false" outlineLevel="0" collapsed="false">
      <c r="A98" s="10"/>
      <c r="B98" s="11"/>
      <c r="C98" s="11"/>
      <c r="D98" s="11"/>
      <c r="E98" s="11"/>
      <c r="F98" s="11"/>
      <c r="G98" s="12"/>
      <c r="H98" s="13" t="str">
        <f aca="false">IF(F98="","",IFERROR(INDEX(Tarifs!$B$2:$B$9,MATCH(F98,Tarifs!$A$2:$A$9,0)),""))</f>
        <v/>
      </c>
      <c r="I98" s="13" t="str">
        <f aca="false">IF(OR(G98="",H98=""),"",G98*H98*(1-IF(G98&gt;=Tarifs!$A$17,Tarifs!$B$17,IF(G98&gt;=Tarifs!$A$16,Tarifs!$B$16,0))))</f>
        <v/>
      </c>
      <c r="J98" s="14" t="str">
        <f aca="false">IF(B98="","",SUMIFS(Reservations!$G:$G,Reservations!$B:$B,B98))</f>
        <v/>
      </c>
      <c r="K98" s="14" t="str">
        <f aca="false">IF(OR(B98="",G98=""),"",G98-J98)</f>
        <v/>
      </c>
      <c r="L98" s="15" t="str">
        <f aca="false">IF(K98="","",IF(K98&gt;0,"À appeler",IF(K98=0,"Réservé","Trop réservé")))</f>
        <v/>
      </c>
      <c r="M98" s="11"/>
    </row>
    <row r="99" customFormat="false" ht="15" hidden="false" customHeight="false" outlineLevel="0" collapsed="false">
      <c r="A99" s="10"/>
      <c r="B99" s="11"/>
      <c r="C99" s="11"/>
      <c r="D99" s="11"/>
      <c r="E99" s="11"/>
      <c r="F99" s="11"/>
      <c r="G99" s="12"/>
      <c r="H99" s="13" t="str">
        <f aca="false">IF(F99="","",IFERROR(INDEX(Tarifs!$B$2:$B$9,MATCH(F99,Tarifs!$A$2:$A$9,0)),""))</f>
        <v/>
      </c>
      <c r="I99" s="13" t="str">
        <f aca="false">IF(OR(G99="",H99=""),"",G99*H99*(1-IF(G99&gt;=Tarifs!$A$17,Tarifs!$B$17,IF(G99&gt;=Tarifs!$A$16,Tarifs!$B$16,0))))</f>
        <v/>
      </c>
      <c r="J99" s="14" t="str">
        <f aca="false">IF(B99="","",SUMIFS(Reservations!$G:$G,Reservations!$B:$B,B99))</f>
        <v/>
      </c>
      <c r="K99" s="14" t="str">
        <f aca="false">IF(OR(B99="",G99=""),"",G99-J99)</f>
        <v/>
      </c>
      <c r="L99" s="15" t="str">
        <f aca="false">IF(K99="","",IF(K99&gt;0,"À appeler",IF(K99=0,"Réservé","Trop réservé")))</f>
        <v/>
      </c>
      <c r="M99" s="11"/>
    </row>
    <row r="100" customFormat="false" ht="15" hidden="false" customHeight="false" outlineLevel="0" collapsed="false">
      <c r="A100" s="10"/>
      <c r="B100" s="11"/>
      <c r="C100" s="11"/>
      <c r="D100" s="11"/>
      <c r="E100" s="11"/>
      <c r="F100" s="11"/>
      <c r="G100" s="12"/>
      <c r="H100" s="13" t="str">
        <f aca="false">IF(F100="","",IFERROR(INDEX(Tarifs!$B$2:$B$9,MATCH(F100,Tarifs!$A$2:$A$9,0)),""))</f>
        <v/>
      </c>
      <c r="I100" s="13" t="str">
        <f aca="false">IF(OR(G100="",H100=""),"",G100*H100*(1-IF(G100&gt;=Tarifs!$A$17,Tarifs!$B$17,IF(G100&gt;=Tarifs!$A$16,Tarifs!$B$16,0))))</f>
        <v/>
      </c>
      <c r="J100" s="14" t="str">
        <f aca="false">IF(B100="","",SUMIFS(Reservations!$G:$G,Reservations!$B:$B,B100))</f>
        <v/>
      </c>
      <c r="K100" s="14" t="str">
        <f aca="false">IF(OR(B100="",G100=""),"",G100-J100)</f>
        <v/>
      </c>
      <c r="L100" s="15" t="str">
        <f aca="false">IF(K100="","",IF(K100&gt;0,"À appeler",IF(K100=0,"Réservé","Trop réservé")))</f>
        <v/>
      </c>
      <c r="M100" s="11"/>
    </row>
    <row r="101" customFormat="false" ht="15" hidden="false" customHeight="false" outlineLevel="0" collapsed="false">
      <c r="A101" s="10"/>
      <c r="B101" s="11"/>
      <c r="C101" s="11"/>
      <c r="D101" s="11"/>
      <c r="E101" s="11"/>
      <c r="F101" s="11"/>
      <c r="G101" s="12"/>
      <c r="H101" s="13" t="str">
        <f aca="false">IF(F101="","",IFERROR(INDEX(Tarifs!$B$2:$B$9,MATCH(F101,Tarifs!$A$2:$A$9,0)),""))</f>
        <v/>
      </c>
      <c r="I101" s="13" t="str">
        <f aca="false">IF(OR(G101="",H101=""),"",G101*H101*(1-IF(G101&gt;=Tarifs!$A$17,Tarifs!$B$17,IF(G101&gt;=Tarifs!$A$16,Tarifs!$B$16,0))))</f>
        <v/>
      </c>
      <c r="J101" s="14" t="str">
        <f aca="false">IF(B101="","",SUMIFS(Reservations!$G:$G,Reservations!$B:$B,B101))</f>
        <v/>
      </c>
      <c r="K101" s="14" t="str">
        <f aca="false">IF(OR(B101="",G101=""),"",G101-J101)</f>
        <v/>
      </c>
      <c r="L101" s="15" t="str">
        <f aca="false">IF(K101="","",IF(K101&gt;0,"À appeler",IF(K101=0,"Réservé","Trop réservé")))</f>
        <v/>
      </c>
      <c r="M101" s="11"/>
    </row>
    <row r="102" customFormat="false" ht="15" hidden="false" customHeight="false" outlineLevel="0" collapsed="false">
      <c r="A102" s="10"/>
      <c r="B102" s="11"/>
      <c r="C102" s="11"/>
      <c r="D102" s="11"/>
      <c r="E102" s="11"/>
      <c r="F102" s="11"/>
      <c r="G102" s="12"/>
      <c r="H102" s="13" t="str">
        <f aca="false">IF(F102="","",IFERROR(INDEX(Tarifs!$B$2:$B$9,MATCH(F102,Tarifs!$A$2:$A$9,0)),""))</f>
        <v/>
      </c>
      <c r="I102" s="13" t="str">
        <f aca="false">IF(OR(G102="",H102=""),"",G102*H102*(1-IF(G102&gt;=Tarifs!$A$17,Tarifs!$B$17,IF(G102&gt;=Tarifs!$A$16,Tarifs!$B$16,0))))</f>
        <v/>
      </c>
      <c r="J102" s="14" t="str">
        <f aca="false">IF(B102="","",SUMIFS(Reservations!$G:$G,Reservations!$B:$B,B102))</f>
        <v/>
      </c>
      <c r="K102" s="14" t="str">
        <f aca="false">IF(OR(B102="",G102=""),"",G102-J102)</f>
        <v/>
      </c>
      <c r="L102" s="15" t="str">
        <f aca="false">IF(K102="","",IF(K102&gt;0,"À appeler",IF(K102=0,"Réservé","Trop réservé")))</f>
        <v/>
      </c>
      <c r="M102" s="11"/>
    </row>
    <row r="103" customFormat="false" ht="15" hidden="false" customHeight="false" outlineLevel="0" collapsed="false">
      <c r="A103" s="10"/>
      <c r="B103" s="11"/>
      <c r="C103" s="11"/>
      <c r="D103" s="11"/>
      <c r="E103" s="11"/>
      <c r="F103" s="11"/>
      <c r="G103" s="12"/>
      <c r="H103" s="13" t="str">
        <f aca="false">IF(F103="","",IFERROR(INDEX(Tarifs!$B$2:$B$9,MATCH(F103,Tarifs!$A$2:$A$9,0)),""))</f>
        <v/>
      </c>
      <c r="I103" s="13" t="str">
        <f aca="false">IF(OR(G103="",H103=""),"",G103*H103*(1-IF(G103&gt;=Tarifs!$A$17,Tarifs!$B$17,IF(G103&gt;=Tarifs!$A$16,Tarifs!$B$16,0))))</f>
        <v/>
      </c>
      <c r="J103" s="14" t="str">
        <f aca="false">IF(B103="","",SUMIFS(Reservations!$G:$G,Reservations!$B:$B,B103))</f>
        <v/>
      </c>
      <c r="K103" s="14" t="str">
        <f aca="false">IF(OR(B103="",G103=""),"",G103-J103)</f>
        <v/>
      </c>
      <c r="L103" s="15" t="str">
        <f aca="false">IF(K103="","",IF(K103&gt;0,"À appeler",IF(K103=0,"Réservé","Trop réservé")))</f>
        <v/>
      </c>
      <c r="M103" s="11"/>
    </row>
    <row r="104" customFormat="false" ht="15" hidden="false" customHeight="false" outlineLevel="0" collapsed="false">
      <c r="A104" s="10"/>
      <c r="B104" s="11"/>
      <c r="C104" s="11"/>
      <c r="D104" s="11"/>
      <c r="E104" s="11"/>
      <c r="F104" s="11"/>
      <c r="G104" s="12"/>
      <c r="H104" s="13" t="str">
        <f aca="false">IF(F104="","",IFERROR(INDEX(Tarifs!$B$2:$B$9,MATCH(F104,Tarifs!$A$2:$A$9,0)),""))</f>
        <v/>
      </c>
      <c r="I104" s="13" t="str">
        <f aca="false">IF(OR(G104="",H104=""),"",G104*H104*(1-IF(G104&gt;=Tarifs!$A$17,Tarifs!$B$17,IF(G104&gt;=Tarifs!$A$16,Tarifs!$B$16,0))))</f>
        <v/>
      </c>
      <c r="J104" s="14" t="str">
        <f aca="false">IF(B104="","",SUMIFS(Reservations!$G:$G,Reservations!$B:$B,B104))</f>
        <v/>
      </c>
      <c r="K104" s="14" t="str">
        <f aca="false">IF(OR(B104="",G104=""),"",G104-J104)</f>
        <v/>
      </c>
      <c r="L104" s="15" t="str">
        <f aca="false">IF(K104="","",IF(K104&gt;0,"À appeler",IF(K104=0,"Réservé","Trop réservé")))</f>
        <v/>
      </c>
      <c r="M104" s="11"/>
    </row>
    <row r="105" customFormat="false" ht="15" hidden="false" customHeight="false" outlineLevel="0" collapsed="false">
      <c r="A105" s="10"/>
      <c r="B105" s="11"/>
      <c r="C105" s="11"/>
      <c r="D105" s="11"/>
      <c r="E105" s="11"/>
      <c r="F105" s="11"/>
      <c r="G105" s="12"/>
      <c r="H105" s="13" t="str">
        <f aca="false">IF(F105="","",IFERROR(INDEX(Tarifs!$B$2:$B$9,MATCH(F105,Tarifs!$A$2:$A$9,0)),""))</f>
        <v/>
      </c>
      <c r="I105" s="13" t="str">
        <f aca="false">IF(OR(G105="",H105=""),"",G105*H105*(1-IF(G105&gt;=Tarifs!$A$17,Tarifs!$B$17,IF(G105&gt;=Tarifs!$A$16,Tarifs!$B$16,0))))</f>
        <v/>
      </c>
      <c r="J105" s="14" t="str">
        <f aca="false">IF(B105="","",SUMIFS(Reservations!$G:$G,Reservations!$B:$B,B105))</f>
        <v/>
      </c>
      <c r="K105" s="14" t="str">
        <f aca="false">IF(OR(B105="",G105=""),"",G105-J105)</f>
        <v/>
      </c>
      <c r="L105" s="15" t="str">
        <f aca="false">IF(K105="","",IF(K105&gt;0,"À appeler",IF(K105=0,"Réservé","Trop réservé")))</f>
        <v/>
      </c>
      <c r="M105" s="11"/>
    </row>
    <row r="106" customFormat="false" ht="15" hidden="false" customHeight="false" outlineLevel="0" collapsed="false">
      <c r="A106" s="10"/>
      <c r="B106" s="11"/>
      <c r="C106" s="11"/>
      <c r="D106" s="11"/>
      <c r="E106" s="11"/>
      <c r="F106" s="11"/>
      <c r="G106" s="12"/>
      <c r="H106" s="13" t="str">
        <f aca="false">IF(F106="","",IFERROR(INDEX(Tarifs!$B$2:$B$9,MATCH(F106,Tarifs!$A$2:$A$9,0)),""))</f>
        <v/>
      </c>
      <c r="I106" s="13" t="str">
        <f aca="false">IF(OR(G106="",H106=""),"",G106*H106*(1-IF(G106&gt;=Tarifs!$A$17,Tarifs!$B$17,IF(G106&gt;=Tarifs!$A$16,Tarifs!$B$16,0))))</f>
        <v/>
      </c>
      <c r="J106" s="14" t="str">
        <f aca="false">IF(B106="","",SUMIFS(Reservations!$G:$G,Reservations!$B:$B,B106))</f>
        <v/>
      </c>
      <c r="K106" s="14" t="str">
        <f aca="false">IF(OR(B106="",G106=""),"",G106-J106)</f>
        <v/>
      </c>
      <c r="L106" s="15" t="str">
        <f aca="false">IF(K106="","",IF(K106&gt;0,"À appeler",IF(K106=0,"Réservé","Trop réservé")))</f>
        <v/>
      </c>
      <c r="M106" s="11"/>
    </row>
    <row r="107" customFormat="false" ht="15" hidden="false" customHeight="false" outlineLevel="0" collapsed="false">
      <c r="A107" s="10"/>
      <c r="B107" s="11"/>
      <c r="C107" s="11"/>
      <c r="D107" s="11"/>
      <c r="E107" s="11"/>
      <c r="F107" s="11"/>
      <c r="G107" s="12"/>
      <c r="H107" s="13" t="str">
        <f aca="false">IF(F107="","",IFERROR(INDEX(Tarifs!$B$2:$B$9,MATCH(F107,Tarifs!$A$2:$A$9,0)),""))</f>
        <v/>
      </c>
      <c r="I107" s="13" t="str">
        <f aca="false">IF(OR(G107="",H107=""),"",G107*H107*(1-IF(G107&gt;=Tarifs!$A$17,Tarifs!$B$17,IF(G107&gt;=Tarifs!$A$16,Tarifs!$B$16,0))))</f>
        <v/>
      </c>
      <c r="J107" s="14" t="str">
        <f aca="false">IF(B107="","",SUMIFS(Reservations!$G:$G,Reservations!$B:$B,B107))</f>
        <v/>
      </c>
      <c r="K107" s="14" t="str">
        <f aca="false">IF(OR(B107="",G107=""),"",G107-J107)</f>
        <v/>
      </c>
      <c r="L107" s="15" t="str">
        <f aca="false">IF(K107="","",IF(K107&gt;0,"À appeler",IF(K107=0,"Réservé","Trop réservé")))</f>
        <v/>
      </c>
      <c r="M107" s="11"/>
    </row>
    <row r="108" customFormat="false" ht="15" hidden="false" customHeight="false" outlineLevel="0" collapsed="false">
      <c r="A108" s="10"/>
      <c r="B108" s="11"/>
      <c r="C108" s="11"/>
      <c r="D108" s="11"/>
      <c r="E108" s="11"/>
      <c r="F108" s="11"/>
      <c r="G108" s="12"/>
      <c r="H108" s="13" t="str">
        <f aca="false">IF(F108="","",IFERROR(INDEX(Tarifs!$B$2:$B$9,MATCH(F108,Tarifs!$A$2:$A$9,0)),""))</f>
        <v/>
      </c>
      <c r="I108" s="13" t="str">
        <f aca="false">IF(OR(G108="",H108=""),"",G108*H108*(1-IF(G108&gt;=Tarifs!$A$17,Tarifs!$B$17,IF(G108&gt;=Tarifs!$A$16,Tarifs!$B$16,0))))</f>
        <v/>
      </c>
      <c r="J108" s="14" t="str">
        <f aca="false">IF(B108="","",SUMIFS(Reservations!$G:$G,Reservations!$B:$B,B108))</f>
        <v/>
      </c>
      <c r="K108" s="14" t="str">
        <f aca="false">IF(OR(B108="",G108=""),"",G108-J108)</f>
        <v/>
      </c>
      <c r="L108" s="15" t="str">
        <f aca="false">IF(K108="","",IF(K108&gt;0,"À appeler",IF(K108=0,"Réservé","Trop réservé")))</f>
        <v/>
      </c>
      <c r="M108" s="11"/>
    </row>
    <row r="109" customFormat="false" ht="15" hidden="false" customHeight="false" outlineLevel="0" collapsed="false">
      <c r="A109" s="10"/>
      <c r="B109" s="11"/>
      <c r="C109" s="11"/>
      <c r="D109" s="11"/>
      <c r="E109" s="11"/>
      <c r="F109" s="11"/>
      <c r="G109" s="12"/>
      <c r="H109" s="13" t="str">
        <f aca="false">IF(F109="","",IFERROR(INDEX(Tarifs!$B$2:$B$9,MATCH(F109,Tarifs!$A$2:$A$9,0)),""))</f>
        <v/>
      </c>
      <c r="I109" s="13" t="str">
        <f aca="false">IF(OR(G109="",H109=""),"",G109*H109*(1-IF(G109&gt;=Tarifs!$A$17,Tarifs!$B$17,IF(G109&gt;=Tarifs!$A$16,Tarifs!$B$16,0))))</f>
        <v/>
      </c>
      <c r="J109" s="14" t="str">
        <f aca="false">IF(B109="","",SUMIFS(Reservations!$G:$G,Reservations!$B:$B,B109))</f>
        <v/>
      </c>
      <c r="K109" s="14" t="str">
        <f aca="false">IF(OR(B109="",G109=""),"",G109-J109)</f>
        <v/>
      </c>
      <c r="L109" s="15" t="str">
        <f aca="false">IF(K109="","",IF(K109&gt;0,"À appeler",IF(K109=0,"Réservé","Trop réservé")))</f>
        <v/>
      </c>
      <c r="M109" s="11"/>
    </row>
    <row r="110" customFormat="false" ht="15" hidden="false" customHeight="false" outlineLevel="0" collapsed="false">
      <c r="A110" s="10"/>
      <c r="B110" s="11"/>
      <c r="C110" s="11"/>
      <c r="D110" s="11"/>
      <c r="E110" s="11"/>
      <c r="F110" s="11"/>
      <c r="G110" s="12"/>
      <c r="H110" s="13" t="str">
        <f aca="false">IF(F110="","",IFERROR(INDEX(Tarifs!$B$2:$B$9,MATCH(F110,Tarifs!$A$2:$A$9,0)),""))</f>
        <v/>
      </c>
      <c r="I110" s="13" t="str">
        <f aca="false">IF(OR(G110="",H110=""),"",G110*H110*(1-IF(G110&gt;=Tarifs!$A$17,Tarifs!$B$17,IF(G110&gt;=Tarifs!$A$16,Tarifs!$B$16,0))))</f>
        <v/>
      </c>
      <c r="J110" s="14" t="str">
        <f aca="false">IF(B110="","",SUMIFS(Reservations!$G:$G,Reservations!$B:$B,B110))</f>
        <v/>
      </c>
      <c r="K110" s="14" t="str">
        <f aca="false">IF(OR(B110="",G110=""),"",G110-J110)</f>
        <v/>
      </c>
      <c r="L110" s="15" t="str">
        <f aca="false">IF(K110="","",IF(K110&gt;0,"À appeler",IF(K110=0,"Réservé","Trop réservé")))</f>
        <v/>
      </c>
      <c r="M110" s="11"/>
    </row>
    <row r="111" customFormat="false" ht="15" hidden="false" customHeight="false" outlineLevel="0" collapsed="false">
      <c r="A111" s="10"/>
      <c r="B111" s="11"/>
      <c r="C111" s="11"/>
      <c r="D111" s="11"/>
      <c r="E111" s="11"/>
      <c r="F111" s="11"/>
      <c r="G111" s="12"/>
      <c r="H111" s="13" t="str">
        <f aca="false">IF(F111="","",IFERROR(INDEX(Tarifs!$B$2:$B$9,MATCH(F111,Tarifs!$A$2:$A$9,0)),""))</f>
        <v/>
      </c>
      <c r="I111" s="13" t="str">
        <f aca="false">IF(OR(G111="",H111=""),"",G111*H111*(1-IF(G111&gt;=Tarifs!$A$17,Tarifs!$B$17,IF(G111&gt;=Tarifs!$A$16,Tarifs!$B$16,0))))</f>
        <v/>
      </c>
      <c r="J111" s="14" t="str">
        <f aca="false">IF(B111="","",SUMIFS(Reservations!$G:$G,Reservations!$B:$B,B111))</f>
        <v/>
      </c>
      <c r="K111" s="14" t="str">
        <f aca="false">IF(OR(B111="",G111=""),"",G111-J111)</f>
        <v/>
      </c>
      <c r="L111" s="15" t="str">
        <f aca="false">IF(K111="","",IF(K111&gt;0,"À appeler",IF(K111=0,"Réservé","Trop réservé")))</f>
        <v/>
      </c>
      <c r="M111" s="11"/>
    </row>
    <row r="112" customFormat="false" ht="15" hidden="false" customHeight="false" outlineLevel="0" collapsed="false">
      <c r="A112" s="10"/>
      <c r="B112" s="11"/>
      <c r="C112" s="11"/>
      <c r="D112" s="11"/>
      <c r="E112" s="11"/>
      <c r="F112" s="11"/>
      <c r="G112" s="12"/>
      <c r="H112" s="13" t="str">
        <f aca="false">IF(F112="","",IFERROR(INDEX(Tarifs!$B$2:$B$9,MATCH(F112,Tarifs!$A$2:$A$9,0)),""))</f>
        <v/>
      </c>
      <c r="I112" s="13" t="str">
        <f aca="false">IF(OR(G112="",H112=""),"",G112*H112*(1-IF(G112&gt;=Tarifs!$A$17,Tarifs!$B$17,IF(G112&gt;=Tarifs!$A$16,Tarifs!$B$16,0))))</f>
        <v/>
      </c>
      <c r="J112" s="14" t="str">
        <f aca="false">IF(B112="","",SUMIFS(Reservations!$G:$G,Reservations!$B:$B,B112))</f>
        <v/>
      </c>
      <c r="K112" s="14" t="str">
        <f aca="false">IF(OR(B112="",G112=""),"",G112-J112)</f>
        <v/>
      </c>
      <c r="L112" s="15" t="str">
        <f aca="false">IF(K112="","",IF(K112&gt;0,"À appeler",IF(K112=0,"Réservé","Trop réservé")))</f>
        <v/>
      </c>
      <c r="M112" s="11"/>
    </row>
    <row r="113" customFormat="false" ht="15" hidden="false" customHeight="false" outlineLevel="0" collapsed="false">
      <c r="A113" s="10"/>
      <c r="B113" s="11"/>
      <c r="C113" s="11"/>
      <c r="D113" s="11"/>
      <c r="E113" s="11"/>
      <c r="F113" s="11"/>
      <c r="G113" s="12"/>
      <c r="H113" s="13" t="str">
        <f aca="false">IF(F113="","",IFERROR(INDEX(Tarifs!$B$2:$B$9,MATCH(F113,Tarifs!$A$2:$A$9,0)),""))</f>
        <v/>
      </c>
      <c r="I113" s="13" t="str">
        <f aca="false">IF(OR(G113="",H113=""),"",G113*H113*(1-IF(G113&gt;=Tarifs!$A$17,Tarifs!$B$17,IF(G113&gt;=Tarifs!$A$16,Tarifs!$B$16,0))))</f>
        <v/>
      </c>
      <c r="J113" s="14" t="str">
        <f aca="false">IF(B113="","",SUMIFS(Reservations!$G:$G,Reservations!$B:$B,B113))</f>
        <v/>
      </c>
      <c r="K113" s="14" t="str">
        <f aca="false">IF(OR(B113="",G113=""),"",G113-J113)</f>
        <v/>
      </c>
      <c r="L113" s="15" t="str">
        <f aca="false">IF(K113="","",IF(K113&gt;0,"À appeler",IF(K113=0,"Réservé","Trop réservé")))</f>
        <v/>
      </c>
      <c r="M113" s="11"/>
    </row>
    <row r="114" customFormat="false" ht="15" hidden="false" customHeight="false" outlineLevel="0" collapsed="false">
      <c r="A114" s="10"/>
      <c r="B114" s="11"/>
      <c r="C114" s="11"/>
      <c r="D114" s="11"/>
      <c r="E114" s="11"/>
      <c r="F114" s="11"/>
      <c r="G114" s="12"/>
      <c r="H114" s="13" t="str">
        <f aca="false">IF(F114="","",IFERROR(INDEX(Tarifs!$B$2:$B$9,MATCH(F114,Tarifs!$A$2:$A$9,0)),""))</f>
        <v/>
      </c>
      <c r="I114" s="13" t="str">
        <f aca="false">IF(OR(G114="",H114=""),"",G114*H114*(1-IF(G114&gt;=Tarifs!$A$17,Tarifs!$B$17,IF(G114&gt;=Tarifs!$A$16,Tarifs!$B$16,0))))</f>
        <v/>
      </c>
      <c r="J114" s="14" t="str">
        <f aca="false">IF(B114="","",SUMIFS(Reservations!$G:$G,Reservations!$B:$B,B114))</f>
        <v/>
      </c>
      <c r="K114" s="14" t="str">
        <f aca="false">IF(OR(B114="",G114=""),"",G114-J114)</f>
        <v/>
      </c>
      <c r="L114" s="15" t="str">
        <f aca="false">IF(K114="","",IF(K114&gt;0,"À appeler",IF(K114=0,"Réservé","Trop réservé")))</f>
        <v/>
      </c>
      <c r="M114" s="11"/>
    </row>
    <row r="115" customFormat="false" ht="15" hidden="false" customHeight="false" outlineLevel="0" collapsed="false">
      <c r="A115" s="10"/>
      <c r="B115" s="11"/>
      <c r="C115" s="11"/>
      <c r="D115" s="11"/>
      <c r="E115" s="11"/>
      <c r="F115" s="11"/>
      <c r="G115" s="12"/>
      <c r="H115" s="13" t="str">
        <f aca="false">IF(F115="","",IFERROR(INDEX(Tarifs!$B$2:$B$9,MATCH(F115,Tarifs!$A$2:$A$9,0)),""))</f>
        <v/>
      </c>
      <c r="I115" s="13" t="str">
        <f aca="false">IF(OR(G115="",H115=""),"",G115*H115*(1-IF(G115&gt;=Tarifs!$A$17,Tarifs!$B$17,IF(G115&gt;=Tarifs!$A$16,Tarifs!$B$16,0))))</f>
        <v/>
      </c>
      <c r="J115" s="14" t="str">
        <f aca="false">IF(B115="","",SUMIFS(Reservations!$G:$G,Reservations!$B:$B,B115))</f>
        <v/>
      </c>
      <c r="K115" s="14" t="str">
        <f aca="false">IF(OR(B115="",G115=""),"",G115-J115)</f>
        <v/>
      </c>
      <c r="L115" s="15" t="str">
        <f aca="false">IF(K115="","",IF(K115&gt;0,"À appeler",IF(K115=0,"Réservé","Trop réservé")))</f>
        <v/>
      </c>
      <c r="M115" s="11"/>
    </row>
    <row r="116" customFormat="false" ht="15" hidden="false" customHeight="false" outlineLevel="0" collapsed="false">
      <c r="A116" s="10"/>
      <c r="B116" s="11"/>
      <c r="C116" s="11"/>
      <c r="D116" s="11"/>
      <c r="E116" s="11"/>
      <c r="F116" s="11"/>
      <c r="G116" s="12"/>
      <c r="H116" s="13" t="str">
        <f aca="false">IF(F116="","",IFERROR(INDEX(Tarifs!$B$2:$B$9,MATCH(F116,Tarifs!$A$2:$A$9,0)),""))</f>
        <v/>
      </c>
      <c r="I116" s="13" t="str">
        <f aca="false">IF(OR(G116="",H116=""),"",G116*H116*(1-IF(G116&gt;=Tarifs!$A$17,Tarifs!$B$17,IF(G116&gt;=Tarifs!$A$16,Tarifs!$B$16,0))))</f>
        <v/>
      </c>
      <c r="J116" s="14" t="str">
        <f aca="false">IF(B116="","",SUMIFS(Reservations!$G:$G,Reservations!$B:$B,B116))</f>
        <v/>
      </c>
      <c r="K116" s="14" t="str">
        <f aca="false">IF(OR(B116="",G116=""),"",G116-J116)</f>
        <v/>
      </c>
      <c r="L116" s="15" t="str">
        <f aca="false">IF(K116="","",IF(K116&gt;0,"À appeler",IF(K116=0,"Réservé","Trop réservé")))</f>
        <v/>
      </c>
      <c r="M116" s="11"/>
    </row>
    <row r="117" customFormat="false" ht="15" hidden="false" customHeight="false" outlineLevel="0" collapsed="false">
      <c r="A117" s="10"/>
      <c r="B117" s="11"/>
      <c r="C117" s="11"/>
      <c r="D117" s="11"/>
      <c r="E117" s="11"/>
      <c r="F117" s="11"/>
      <c r="G117" s="12"/>
      <c r="H117" s="13" t="str">
        <f aca="false">IF(F117="","",IFERROR(INDEX(Tarifs!$B$2:$B$9,MATCH(F117,Tarifs!$A$2:$A$9,0)),""))</f>
        <v/>
      </c>
      <c r="I117" s="13" t="str">
        <f aca="false">IF(OR(G117="",H117=""),"",G117*H117*(1-IF(G117&gt;=Tarifs!$A$17,Tarifs!$B$17,IF(G117&gt;=Tarifs!$A$16,Tarifs!$B$16,0))))</f>
        <v/>
      </c>
      <c r="J117" s="14" t="str">
        <f aca="false">IF(B117="","",SUMIFS(Reservations!$G:$G,Reservations!$B:$B,B117))</f>
        <v/>
      </c>
      <c r="K117" s="14" t="str">
        <f aca="false">IF(OR(B117="",G117=""),"",G117-J117)</f>
        <v/>
      </c>
      <c r="L117" s="15" t="str">
        <f aca="false">IF(K117="","",IF(K117&gt;0,"À appeler",IF(K117=0,"Réservé","Trop réservé")))</f>
        <v/>
      </c>
      <c r="M117" s="11"/>
    </row>
    <row r="118" customFormat="false" ht="15" hidden="false" customHeight="false" outlineLevel="0" collapsed="false">
      <c r="A118" s="10"/>
      <c r="B118" s="11"/>
      <c r="C118" s="11"/>
      <c r="D118" s="11"/>
      <c r="E118" s="11"/>
      <c r="F118" s="11"/>
      <c r="G118" s="12"/>
      <c r="H118" s="13" t="str">
        <f aca="false">IF(F118="","",IFERROR(INDEX(Tarifs!$B$2:$B$9,MATCH(F118,Tarifs!$A$2:$A$9,0)),""))</f>
        <v/>
      </c>
      <c r="I118" s="13" t="str">
        <f aca="false">IF(OR(G118="",H118=""),"",G118*H118*(1-IF(G118&gt;=Tarifs!$A$17,Tarifs!$B$17,IF(G118&gt;=Tarifs!$A$16,Tarifs!$B$16,0))))</f>
        <v/>
      </c>
      <c r="J118" s="14" t="str">
        <f aca="false">IF(B118="","",SUMIFS(Reservations!$G:$G,Reservations!$B:$B,B118))</f>
        <v/>
      </c>
      <c r="K118" s="14" t="str">
        <f aca="false">IF(OR(B118="",G118=""),"",G118-J118)</f>
        <v/>
      </c>
      <c r="L118" s="15" t="str">
        <f aca="false">IF(K118="","",IF(K118&gt;0,"À appeler",IF(K118=0,"Réservé","Trop réservé")))</f>
        <v/>
      </c>
      <c r="M118" s="11"/>
    </row>
    <row r="119" customFormat="false" ht="15" hidden="false" customHeight="false" outlineLevel="0" collapsed="false">
      <c r="A119" s="10"/>
      <c r="B119" s="11"/>
      <c r="C119" s="11"/>
      <c r="D119" s="11"/>
      <c r="E119" s="11"/>
      <c r="F119" s="11"/>
      <c r="G119" s="12"/>
      <c r="H119" s="13" t="str">
        <f aca="false">IF(F119="","",IFERROR(INDEX(Tarifs!$B$2:$B$9,MATCH(F119,Tarifs!$A$2:$A$9,0)),""))</f>
        <v/>
      </c>
      <c r="I119" s="13" t="str">
        <f aca="false">IF(OR(G119="",H119=""),"",G119*H119*(1-IF(G119&gt;=Tarifs!$A$17,Tarifs!$B$17,IF(G119&gt;=Tarifs!$A$16,Tarifs!$B$16,0))))</f>
        <v/>
      </c>
      <c r="J119" s="14" t="str">
        <f aca="false">IF(B119="","",SUMIFS(Reservations!$G:$G,Reservations!$B:$B,B119))</f>
        <v/>
      </c>
      <c r="K119" s="14" t="str">
        <f aca="false">IF(OR(B119="",G119=""),"",G119-J119)</f>
        <v/>
      </c>
      <c r="L119" s="15" t="str">
        <f aca="false">IF(K119="","",IF(K119&gt;0,"À appeler",IF(K119=0,"Réservé","Trop réservé")))</f>
        <v/>
      </c>
      <c r="M119" s="11"/>
    </row>
    <row r="120" customFormat="false" ht="15" hidden="false" customHeight="false" outlineLevel="0" collapsed="false">
      <c r="A120" s="10"/>
      <c r="B120" s="11"/>
      <c r="C120" s="11"/>
      <c r="D120" s="11"/>
      <c r="E120" s="11"/>
      <c r="F120" s="11"/>
      <c r="G120" s="12"/>
      <c r="H120" s="13" t="str">
        <f aca="false">IF(F120="","",IFERROR(INDEX(Tarifs!$B$2:$B$9,MATCH(F120,Tarifs!$A$2:$A$9,0)),""))</f>
        <v/>
      </c>
      <c r="I120" s="13" t="str">
        <f aca="false">IF(OR(G120="",H120=""),"",G120*H120*(1-IF(G120&gt;=Tarifs!$A$17,Tarifs!$B$17,IF(G120&gt;=Tarifs!$A$16,Tarifs!$B$16,0))))</f>
        <v/>
      </c>
      <c r="J120" s="14" t="str">
        <f aca="false">IF(B120="","",SUMIFS(Reservations!$G:$G,Reservations!$B:$B,B120))</f>
        <v/>
      </c>
      <c r="K120" s="14" t="str">
        <f aca="false">IF(OR(B120="",G120=""),"",G120-J120)</f>
        <v/>
      </c>
      <c r="L120" s="15" t="str">
        <f aca="false">IF(K120="","",IF(K120&gt;0,"À appeler",IF(K120=0,"Réservé","Trop réservé")))</f>
        <v/>
      </c>
      <c r="M120" s="11"/>
    </row>
    <row r="121" customFormat="false" ht="15" hidden="false" customHeight="false" outlineLevel="0" collapsed="false">
      <c r="A121" s="10"/>
      <c r="B121" s="11"/>
      <c r="C121" s="11"/>
      <c r="D121" s="11"/>
      <c r="E121" s="11"/>
      <c r="F121" s="11"/>
      <c r="G121" s="12"/>
      <c r="H121" s="13" t="str">
        <f aca="false">IF(F121="","",IFERROR(INDEX(Tarifs!$B$2:$B$9,MATCH(F121,Tarifs!$A$2:$A$9,0)),""))</f>
        <v/>
      </c>
      <c r="I121" s="13" t="str">
        <f aca="false">IF(OR(G121="",H121=""),"",G121*H121*(1-IF(G121&gt;=Tarifs!$A$17,Tarifs!$B$17,IF(G121&gt;=Tarifs!$A$16,Tarifs!$B$16,0))))</f>
        <v/>
      </c>
      <c r="J121" s="14" t="str">
        <f aca="false">IF(B121="","",SUMIFS(Reservations!$G:$G,Reservations!$B:$B,B121))</f>
        <v/>
      </c>
      <c r="K121" s="14" t="str">
        <f aca="false">IF(OR(B121="",G121=""),"",G121-J121)</f>
        <v/>
      </c>
      <c r="L121" s="15" t="str">
        <f aca="false">IF(K121="","",IF(K121&gt;0,"À appeler",IF(K121=0,"Réservé","Trop réservé")))</f>
        <v/>
      </c>
      <c r="M121" s="11"/>
    </row>
    <row r="122" customFormat="false" ht="15" hidden="false" customHeight="false" outlineLevel="0" collapsed="false">
      <c r="A122" s="10"/>
      <c r="B122" s="11"/>
      <c r="C122" s="11"/>
      <c r="D122" s="11"/>
      <c r="E122" s="11"/>
      <c r="F122" s="11"/>
      <c r="G122" s="12"/>
      <c r="H122" s="13" t="str">
        <f aca="false">IF(F122="","",IFERROR(INDEX(Tarifs!$B$2:$B$9,MATCH(F122,Tarifs!$A$2:$A$9,0)),""))</f>
        <v/>
      </c>
      <c r="I122" s="13" t="str">
        <f aca="false">IF(OR(G122="",H122=""),"",G122*H122*(1-IF(G122&gt;=Tarifs!$A$17,Tarifs!$B$17,IF(G122&gt;=Tarifs!$A$16,Tarifs!$B$16,0))))</f>
        <v/>
      </c>
      <c r="J122" s="14" t="str">
        <f aca="false">IF(B122="","",SUMIFS(Reservations!$G:$G,Reservations!$B:$B,B122))</f>
        <v/>
      </c>
      <c r="K122" s="14" t="str">
        <f aca="false">IF(OR(B122="",G122=""),"",G122-J122)</f>
        <v/>
      </c>
      <c r="L122" s="15" t="str">
        <f aca="false">IF(K122="","",IF(K122&gt;0,"À appeler",IF(K122=0,"Réservé","Trop réservé")))</f>
        <v/>
      </c>
      <c r="M122" s="11"/>
    </row>
    <row r="123" customFormat="false" ht="15" hidden="false" customHeight="false" outlineLevel="0" collapsed="false">
      <c r="A123" s="10"/>
      <c r="B123" s="11"/>
      <c r="C123" s="11"/>
      <c r="D123" s="11"/>
      <c r="E123" s="11"/>
      <c r="F123" s="11"/>
      <c r="G123" s="12"/>
      <c r="H123" s="13" t="str">
        <f aca="false">IF(F123="","",IFERROR(INDEX(Tarifs!$B$2:$B$9,MATCH(F123,Tarifs!$A$2:$A$9,0)),""))</f>
        <v/>
      </c>
      <c r="I123" s="13" t="str">
        <f aca="false">IF(OR(G123="",H123=""),"",G123*H123*(1-IF(G123&gt;=Tarifs!$A$17,Tarifs!$B$17,IF(G123&gt;=Tarifs!$A$16,Tarifs!$B$16,0))))</f>
        <v/>
      </c>
      <c r="J123" s="14" t="str">
        <f aca="false">IF(B123="","",SUMIFS(Reservations!$G:$G,Reservations!$B:$B,B123))</f>
        <v/>
      </c>
      <c r="K123" s="14" t="str">
        <f aca="false">IF(OR(B123="",G123=""),"",G123-J123)</f>
        <v/>
      </c>
      <c r="L123" s="15" t="str">
        <f aca="false">IF(K123="","",IF(K123&gt;0,"À appeler",IF(K123=0,"Réservé","Trop réservé")))</f>
        <v/>
      </c>
      <c r="M123" s="11"/>
    </row>
    <row r="124" customFormat="false" ht="15" hidden="false" customHeight="false" outlineLevel="0" collapsed="false">
      <c r="A124" s="10"/>
      <c r="B124" s="11"/>
      <c r="C124" s="11"/>
      <c r="D124" s="11"/>
      <c r="E124" s="11"/>
      <c r="F124" s="11"/>
      <c r="G124" s="12"/>
      <c r="H124" s="13" t="str">
        <f aca="false">IF(F124="","",IFERROR(INDEX(Tarifs!$B$2:$B$9,MATCH(F124,Tarifs!$A$2:$A$9,0)),""))</f>
        <v/>
      </c>
      <c r="I124" s="13" t="str">
        <f aca="false">IF(OR(G124="",H124=""),"",G124*H124*(1-IF(G124&gt;=Tarifs!$A$17,Tarifs!$B$17,IF(G124&gt;=Tarifs!$A$16,Tarifs!$B$16,0))))</f>
        <v/>
      </c>
      <c r="J124" s="14" t="str">
        <f aca="false">IF(B124="","",SUMIFS(Reservations!$G:$G,Reservations!$B:$B,B124))</f>
        <v/>
      </c>
      <c r="K124" s="14" t="str">
        <f aca="false">IF(OR(B124="",G124=""),"",G124-J124)</f>
        <v/>
      </c>
      <c r="L124" s="15" t="str">
        <f aca="false">IF(K124="","",IF(K124&gt;0,"À appeler",IF(K124=0,"Réservé","Trop réservé")))</f>
        <v/>
      </c>
      <c r="M124" s="11"/>
    </row>
    <row r="125" customFormat="false" ht="15" hidden="false" customHeight="false" outlineLevel="0" collapsed="false">
      <c r="A125" s="10"/>
      <c r="B125" s="11"/>
      <c r="C125" s="11"/>
      <c r="D125" s="11"/>
      <c r="E125" s="11"/>
      <c r="F125" s="11"/>
      <c r="G125" s="12"/>
      <c r="H125" s="13" t="str">
        <f aca="false">IF(F125="","",IFERROR(INDEX(Tarifs!$B$2:$B$9,MATCH(F125,Tarifs!$A$2:$A$9,0)),""))</f>
        <v/>
      </c>
      <c r="I125" s="13" t="str">
        <f aca="false">IF(OR(G125="",H125=""),"",G125*H125*(1-IF(G125&gt;=Tarifs!$A$17,Tarifs!$B$17,IF(G125&gt;=Tarifs!$A$16,Tarifs!$B$16,0))))</f>
        <v/>
      </c>
      <c r="J125" s="14" t="str">
        <f aca="false">IF(B125="","",SUMIFS(Reservations!$G:$G,Reservations!$B:$B,B125))</f>
        <v/>
      </c>
      <c r="K125" s="14" t="str">
        <f aca="false">IF(OR(B125="",G125=""),"",G125-J125)</f>
        <v/>
      </c>
      <c r="L125" s="15" t="str">
        <f aca="false">IF(K125="","",IF(K125&gt;0,"À appeler",IF(K125=0,"Réservé","Trop réservé")))</f>
        <v/>
      </c>
      <c r="M125" s="11"/>
    </row>
    <row r="126" customFormat="false" ht="15" hidden="false" customHeight="false" outlineLevel="0" collapsed="false">
      <c r="A126" s="10"/>
      <c r="B126" s="11"/>
      <c r="C126" s="11"/>
      <c r="D126" s="11"/>
      <c r="E126" s="11"/>
      <c r="F126" s="11"/>
      <c r="G126" s="12"/>
      <c r="H126" s="13" t="str">
        <f aca="false">IF(F126="","",IFERROR(INDEX(Tarifs!$B$2:$B$9,MATCH(F126,Tarifs!$A$2:$A$9,0)),""))</f>
        <v/>
      </c>
      <c r="I126" s="13" t="str">
        <f aca="false">IF(OR(G126="",H126=""),"",G126*H126*(1-IF(G126&gt;=Tarifs!$A$17,Tarifs!$B$17,IF(G126&gt;=Tarifs!$A$16,Tarifs!$B$16,0))))</f>
        <v/>
      </c>
      <c r="J126" s="14" t="str">
        <f aca="false">IF(B126="","",SUMIFS(Reservations!$G:$G,Reservations!$B:$B,B126))</f>
        <v/>
      </c>
      <c r="K126" s="14" t="str">
        <f aca="false">IF(OR(B126="",G126=""),"",G126-J126)</f>
        <v/>
      </c>
      <c r="L126" s="15" t="str">
        <f aca="false">IF(K126="","",IF(K126&gt;0,"À appeler",IF(K126=0,"Réservé","Trop réservé")))</f>
        <v/>
      </c>
      <c r="M126" s="11"/>
    </row>
    <row r="127" customFormat="false" ht="15" hidden="false" customHeight="false" outlineLevel="0" collapsed="false">
      <c r="A127" s="10"/>
      <c r="B127" s="11"/>
      <c r="C127" s="11"/>
      <c r="D127" s="11"/>
      <c r="E127" s="11"/>
      <c r="F127" s="11"/>
      <c r="G127" s="12"/>
      <c r="H127" s="13" t="str">
        <f aca="false">IF(F127="","",IFERROR(INDEX(Tarifs!$B$2:$B$9,MATCH(F127,Tarifs!$A$2:$A$9,0)),""))</f>
        <v/>
      </c>
      <c r="I127" s="13" t="str">
        <f aca="false">IF(OR(G127="",H127=""),"",G127*H127*(1-IF(G127&gt;=Tarifs!$A$17,Tarifs!$B$17,IF(G127&gt;=Tarifs!$A$16,Tarifs!$B$16,0))))</f>
        <v/>
      </c>
      <c r="J127" s="14" t="str">
        <f aca="false">IF(B127="","",SUMIFS(Reservations!$G:$G,Reservations!$B:$B,B127))</f>
        <v/>
      </c>
      <c r="K127" s="14" t="str">
        <f aca="false">IF(OR(B127="",G127=""),"",G127-J127)</f>
        <v/>
      </c>
      <c r="L127" s="15" t="str">
        <f aca="false">IF(K127="","",IF(K127&gt;0,"À appeler",IF(K127=0,"Réservé","Trop réservé")))</f>
        <v/>
      </c>
      <c r="M127" s="11"/>
    </row>
    <row r="128" customFormat="false" ht="15" hidden="false" customHeight="false" outlineLevel="0" collapsed="false">
      <c r="A128" s="10"/>
      <c r="B128" s="11"/>
      <c r="C128" s="11"/>
      <c r="D128" s="11"/>
      <c r="E128" s="11"/>
      <c r="F128" s="11"/>
      <c r="G128" s="12"/>
      <c r="H128" s="13" t="str">
        <f aca="false">IF(F128="","",IFERROR(INDEX(Tarifs!$B$2:$B$9,MATCH(F128,Tarifs!$A$2:$A$9,0)),""))</f>
        <v/>
      </c>
      <c r="I128" s="13" t="str">
        <f aca="false">IF(OR(G128="",H128=""),"",G128*H128*(1-IF(G128&gt;=Tarifs!$A$17,Tarifs!$B$17,IF(G128&gt;=Tarifs!$A$16,Tarifs!$B$16,0))))</f>
        <v/>
      </c>
      <c r="J128" s="14" t="str">
        <f aca="false">IF(B128="","",SUMIFS(Reservations!$G:$G,Reservations!$B:$B,B128))</f>
        <v/>
      </c>
      <c r="K128" s="14" t="str">
        <f aca="false">IF(OR(B128="",G128=""),"",G128-J128)</f>
        <v/>
      </c>
      <c r="L128" s="15" t="str">
        <f aca="false">IF(K128="","",IF(K128&gt;0,"À appeler",IF(K128=0,"Réservé","Trop réservé")))</f>
        <v/>
      </c>
      <c r="M128" s="11"/>
    </row>
    <row r="129" customFormat="false" ht="15" hidden="false" customHeight="false" outlineLevel="0" collapsed="false">
      <c r="A129" s="10"/>
      <c r="B129" s="11"/>
      <c r="C129" s="11"/>
      <c r="D129" s="11"/>
      <c r="E129" s="11"/>
      <c r="F129" s="11"/>
      <c r="G129" s="12"/>
      <c r="H129" s="13" t="str">
        <f aca="false">IF(F129="","",IFERROR(INDEX(Tarifs!$B$2:$B$9,MATCH(F129,Tarifs!$A$2:$A$9,0)),""))</f>
        <v/>
      </c>
      <c r="I129" s="13" t="str">
        <f aca="false">IF(OR(G129="",H129=""),"",G129*H129*(1-IF(G129&gt;=Tarifs!$A$17,Tarifs!$B$17,IF(G129&gt;=Tarifs!$A$16,Tarifs!$B$16,0))))</f>
        <v/>
      </c>
      <c r="J129" s="14" t="str">
        <f aca="false">IF(B129="","",SUMIFS(Reservations!$G:$G,Reservations!$B:$B,B129))</f>
        <v/>
      </c>
      <c r="K129" s="14" t="str">
        <f aca="false">IF(OR(B129="",G129=""),"",G129-J129)</f>
        <v/>
      </c>
      <c r="L129" s="15" t="str">
        <f aca="false">IF(K129="","",IF(K129&gt;0,"À appeler",IF(K129=0,"Réservé","Trop réservé")))</f>
        <v/>
      </c>
      <c r="M129" s="11"/>
    </row>
    <row r="130" customFormat="false" ht="15" hidden="false" customHeight="false" outlineLevel="0" collapsed="false">
      <c r="A130" s="10"/>
      <c r="B130" s="11"/>
      <c r="C130" s="11"/>
      <c r="D130" s="11"/>
      <c r="E130" s="11"/>
      <c r="F130" s="11"/>
      <c r="G130" s="12"/>
      <c r="H130" s="13" t="str">
        <f aca="false">IF(F130="","",IFERROR(INDEX(Tarifs!$B$2:$B$9,MATCH(F130,Tarifs!$A$2:$A$9,0)),""))</f>
        <v/>
      </c>
      <c r="I130" s="13" t="str">
        <f aca="false">IF(OR(G130="",H130=""),"",G130*H130*(1-IF(G130&gt;=Tarifs!$A$17,Tarifs!$B$17,IF(G130&gt;=Tarifs!$A$16,Tarifs!$B$16,0))))</f>
        <v/>
      </c>
      <c r="J130" s="14" t="str">
        <f aca="false">IF(B130="","",SUMIFS(Reservations!$G:$G,Reservations!$B:$B,B130))</f>
        <v/>
      </c>
      <c r="K130" s="14" t="str">
        <f aca="false">IF(OR(B130="",G130=""),"",G130-J130)</f>
        <v/>
      </c>
      <c r="L130" s="15" t="str">
        <f aca="false">IF(K130="","",IF(K130&gt;0,"À appeler",IF(K130=0,"Réservé","Trop réservé")))</f>
        <v/>
      </c>
      <c r="M130" s="11"/>
    </row>
    <row r="131" customFormat="false" ht="15" hidden="false" customHeight="false" outlineLevel="0" collapsed="false">
      <c r="A131" s="10"/>
      <c r="B131" s="11"/>
      <c r="C131" s="11"/>
      <c r="D131" s="11"/>
      <c r="E131" s="11"/>
      <c r="F131" s="11"/>
      <c r="G131" s="12"/>
      <c r="H131" s="13" t="str">
        <f aca="false">IF(F131="","",IFERROR(INDEX(Tarifs!$B$2:$B$9,MATCH(F131,Tarifs!$A$2:$A$9,0)),""))</f>
        <v/>
      </c>
      <c r="I131" s="13" t="str">
        <f aca="false">IF(OR(G131="",H131=""),"",G131*H131*(1-IF(G131&gt;=Tarifs!$A$17,Tarifs!$B$17,IF(G131&gt;=Tarifs!$A$16,Tarifs!$B$16,0))))</f>
        <v/>
      </c>
      <c r="J131" s="14" t="str">
        <f aca="false">IF(B131="","",SUMIFS(Reservations!$G:$G,Reservations!$B:$B,B131))</f>
        <v/>
      </c>
      <c r="K131" s="14" t="str">
        <f aca="false">IF(OR(B131="",G131=""),"",G131-J131)</f>
        <v/>
      </c>
      <c r="L131" s="15" t="str">
        <f aca="false">IF(K131="","",IF(K131&gt;0,"À appeler",IF(K131=0,"Réservé","Trop réservé")))</f>
        <v/>
      </c>
      <c r="M131" s="11"/>
    </row>
    <row r="132" customFormat="false" ht="15" hidden="false" customHeight="false" outlineLevel="0" collapsed="false">
      <c r="A132" s="10"/>
      <c r="B132" s="11"/>
      <c r="C132" s="11"/>
      <c r="D132" s="11"/>
      <c r="E132" s="11"/>
      <c r="F132" s="11"/>
      <c r="G132" s="12"/>
      <c r="H132" s="13" t="str">
        <f aca="false">IF(F132="","",IFERROR(INDEX(Tarifs!$B$2:$B$9,MATCH(F132,Tarifs!$A$2:$A$9,0)),""))</f>
        <v/>
      </c>
      <c r="I132" s="13" t="str">
        <f aca="false">IF(OR(G132="",H132=""),"",G132*H132*(1-IF(G132&gt;=Tarifs!$A$17,Tarifs!$B$17,IF(G132&gt;=Tarifs!$A$16,Tarifs!$B$16,0))))</f>
        <v/>
      </c>
      <c r="J132" s="14" t="str">
        <f aca="false">IF(B132="","",SUMIFS(Reservations!$G:$G,Reservations!$B:$B,B132))</f>
        <v/>
      </c>
      <c r="K132" s="14" t="str">
        <f aca="false">IF(OR(B132="",G132=""),"",G132-J132)</f>
        <v/>
      </c>
      <c r="L132" s="15" t="str">
        <f aca="false">IF(K132="","",IF(K132&gt;0,"À appeler",IF(K132=0,"Réservé","Trop réservé")))</f>
        <v/>
      </c>
      <c r="M132" s="11"/>
    </row>
    <row r="133" customFormat="false" ht="15" hidden="false" customHeight="false" outlineLevel="0" collapsed="false">
      <c r="A133" s="10"/>
      <c r="B133" s="11"/>
      <c r="C133" s="11"/>
      <c r="D133" s="11"/>
      <c r="E133" s="11"/>
      <c r="F133" s="11"/>
      <c r="G133" s="12"/>
      <c r="H133" s="13" t="str">
        <f aca="false">IF(F133="","",IFERROR(INDEX(Tarifs!$B$2:$B$9,MATCH(F133,Tarifs!$A$2:$A$9,0)),""))</f>
        <v/>
      </c>
      <c r="I133" s="13" t="str">
        <f aca="false">IF(OR(G133="",H133=""),"",G133*H133*(1-IF(G133&gt;=Tarifs!$A$17,Tarifs!$B$17,IF(G133&gt;=Tarifs!$A$16,Tarifs!$B$16,0))))</f>
        <v/>
      </c>
      <c r="J133" s="14" t="str">
        <f aca="false">IF(B133="","",SUMIFS(Reservations!$G:$G,Reservations!$B:$B,B133))</f>
        <v/>
      </c>
      <c r="K133" s="14" t="str">
        <f aca="false">IF(OR(B133="",G133=""),"",G133-J133)</f>
        <v/>
      </c>
      <c r="L133" s="15" t="str">
        <f aca="false">IF(K133="","",IF(K133&gt;0,"À appeler",IF(K133=0,"Réservé","Trop réservé")))</f>
        <v/>
      </c>
      <c r="M133" s="11"/>
    </row>
    <row r="134" customFormat="false" ht="15" hidden="false" customHeight="false" outlineLevel="0" collapsed="false">
      <c r="A134" s="10"/>
      <c r="B134" s="11"/>
      <c r="C134" s="11"/>
      <c r="D134" s="11"/>
      <c r="E134" s="11"/>
      <c r="F134" s="11"/>
      <c r="G134" s="12"/>
      <c r="H134" s="13" t="str">
        <f aca="false">IF(F134="","",IFERROR(INDEX(Tarifs!$B$2:$B$9,MATCH(F134,Tarifs!$A$2:$A$9,0)),""))</f>
        <v/>
      </c>
      <c r="I134" s="13" t="str">
        <f aca="false">IF(OR(G134="",H134=""),"",G134*H134*(1-IF(G134&gt;=Tarifs!$A$17,Tarifs!$B$17,IF(G134&gt;=Tarifs!$A$16,Tarifs!$B$16,0))))</f>
        <v/>
      </c>
      <c r="J134" s="14" t="str">
        <f aca="false">IF(B134="","",SUMIFS(Reservations!$G:$G,Reservations!$B:$B,B134))</f>
        <v/>
      </c>
      <c r="K134" s="14" t="str">
        <f aca="false">IF(OR(B134="",G134=""),"",G134-J134)</f>
        <v/>
      </c>
      <c r="L134" s="15" t="str">
        <f aca="false">IF(K134="","",IF(K134&gt;0,"À appeler",IF(K134=0,"Réservé","Trop réservé")))</f>
        <v/>
      </c>
      <c r="M134" s="11"/>
    </row>
    <row r="135" customFormat="false" ht="15" hidden="false" customHeight="false" outlineLevel="0" collapsed="false">
      <c r="A135" s="10"/>
      <c r="B135" s="11"/>
      <c r="C135" s="11"/>
      <c r="D135" s="11"/>
      <c r="E135" s="11"/>
      <c r="F135" s="11"/>
      <c r="G135" s="12"/>
      <c r="H135" s="13" t="str">
        <f aca="false">IF(F135="","",IFERROR(INDEX(Tarifs!$B$2:$B$9,MATCH(F135,Tarifs!$A$2:$A$9,0)),""))</f>
        <v/>
      </c>
      <c r="I135" s="13" t="str">
        <f aca="false">IF(OR(G135="",H135=""),"",G135*H135*(1-IF(G135&gt;=Tarifs!$A$17,Tarifs!$B$17,IF(G135&gt;=Tarifs!$A$16,Tarifs!$B$16,0))))</f>
        <v/>
      </c>
      <c r="J135" s="14" t="str">
        <f aca="false">IF(B135="","",SUMIFS(Reservations!$G:$G,Reservations!$B:$B,B135))</f>
        <v/>
      </c>
      <c r="K135" s="14" t="str">
        <f aca="false">IF(OR(B135="",G135=""),"",G135-J135)</f>
        <v/>
      </c>
      <c r="L135" s="15" t="str">
        <f aca="false">IF(K135="","",IF(K135&gt;0,"À appeler",IF(K135=0,"Réservé","Trop réservé")))</f>
        <v/>
      </c>
      <c r="M135" s="11"/>
    </row>
    <row r="136" customFormat="false" ht="15" hidden="false" customHeight="false" outlineLevel="0" collapsed="false">
      <c r="A136" s="10"/>
      <c r="B136" s="11"/>
      <c r="C136" s="11"/>
      <c r="D136" s="11"/>
      <c r="E136" s="11"/>
      <c r="F136" s="11"/>
      <c r="G136" s="12"/>
      <c r="H136" s="13" t="str">
        <f aca="false">IF(F136="","",IFERROR(INDEX(Tarifs!$B$2:$B$9,MATCH(F136,Tarifs!$A$2:$A$9,0)),""))</f>
        <v/>
      </c>
      <c r="I136" s="13" t="str">
        <f aca="false">IF(OR(G136="",H136=""),"",G136*H136*(1-IF(G136&gt;=Tarifs!$A$17,Tarifs!$B$17,IF(G136&gt;=Tarifs!$A$16,Tarifs!$B$16,0))))</f>
        <v/>
      </c>
      <c r="J136" s="14" t="str">
        <f aca="false">IF(B136="","",SUMIFS(Reservations!$G:$G,Reservations!$B:$B,B136))</f>
        <v/>
      </c>
      <c r="K136" s="14" t="str">
        <f aca="false">IF(OR(B136="",G136=""),"",G136-J136)</f>
        <v/>
      </c>
      <c r="L136" s="15" t="str">
        <f aca="false">IF(K136="","",IF(K136&gt;0,"À appeler",IF(K136=0,"Réservé","Trop réservé")))</f>
        <v/>
      </c>
      <c r="M136" s="11"/>
    </row>
    <row r="137" customFormat="false" ht="15" hidden="false" customHeight="false" outlineLevel="0" collapsed="false">
      <c r="A137" s="10"/>
      <c r="B137" s="11"/>
      <c r="C137" s="11"/>
      <c r="D137" s="11"/>
      <c r="E137" s="11"/>
      <c r="F137" s="11"/>
      <c r="G137" s="12"/>
      <c r="H137" s="13" t="str">
        <f aca="false">IF(F137="","",IFERROR(INDEX(Tarifs!$B$2:$B$9,MATCH(F137,Tarifs!$A$2:$A$9,0)),""))</f>
        <v/>
      </c>
      <c r="I137" s="13" t="str">
        <f aca="false">IF(OR(G137="",H137=""),"",G137*H137*(1-IF(G137&gt;=Tarifs!$A$17,Tarifs!$B$17,IF(G137&gt;=Tarifs!$A$16,Tarifs!$B$16,0))))</f>
        <v/>
      </c>
      <c r="J137" s="14" t="str">
        <f aca="false">IF(B137="","",SUMIFS(Reservations!$G:$G,Reservations!$B:$B,B137))</f>
        <v/>
      </c>
      <c r="K137" s="14" t="str">
        <f aca="false">IF(OR(B137="",G137=""),"",G137-J137)</f>
        <v/>
      </c>
      <c r="L137" s="15" t="str">
        <f aca="false">IF(K137="","",IF(K137&gt;0,"À appeler",IF(K137=0,"Réservé","Trop réservé")))</f>
        <v/>
      </c>
      <c r="M137" s="11"/>
    </row>
    <row r="138" customFormat="false" ht="15" hidden="false" customHeight="false" outlineLevel="0" collapsed="false">
      <c r="A138" s="10"/>
      <c r="B138" s="11"/>
      <c r="C138" s="11"/>
      <c r="D138" s="11"/>
      <c r="E138" s="11"/>
      <c r="F138" s="11"/>
      <c r="G138" s="12"/>
      <c r="H138" s="13" t="str">
        <f aca="false">IF(F138="","",IFERROR(INDEX(Tarifs!$B$2:$B$9,MATCH(F138,Tarifs!$A$2:$A$9,0)),""))</f>
        <v/>
      </c>
      <c r="I138" s="13" t="str">
        <f aca="false">IF(OR(G138="",H138=""),"",G138*H138*(1-IF(G138&gt;=Tarifs!$A$17,Tarifs!$B$17,IF(G138&gt;=Tarifs!$A$16,Tarifs!$B$16,0))))</f>
        <v/>
      </c>
      <c r="J138" s="14" t="str">
        <f aca="false">IF(B138="","",SUMIFS(Reservations!$G:$G,Reservations!$B:$B,B138))</f>
        <v/>
      </c>
      <c r="K138" s="14" t="str">
        <f aca="false">IF(OR(B138="",G138=""),"",G138-J138)</f>
        <v/>
      </c>
      <c r="L138" s="15" t="str">
        <f aca="false">IF(K138="","",IF(K138&gt;0,"À appeler",IF(K138=0,"Réservé","Trop réservé")))</f>
        <v/>
      </c>
      <c r="M138" s="11"/>
    </row>
    <row r="139" customFormat="false" ht="15" hidden="false" customHeight="false" outlineLevel="0" collapsed="false">
      <c r="A139" s="10"/>
      <c r="B139" s="11"/>
      <c r="C139" s="11"/>
      <c r="D139" s="11"/>
      <c r="E139" s="11"/>
      <c r="F139" s="11"/>
      <c r="G139" s="12"/>
      <c r="H139" s="13" t="str">
        <f aca="false">IF(F139="","",IFERROR(INDEX(Tarifs!$B$2:$B$9,MATCH(F139,Tarifs!$A$2:$A$9,0)),""))</f>
        <v/>
      </c>
      <c r="I139" s="13" t="str">
        <f aca="false">IF(OR(G139="",H139=""),"",G139*H139*(1-IF(G139&gt;=Tarifs!$A$17,Tarifs!$B$17,IF(G139&gt;=Tarifs!$A$16,Tarifs!$B$16,0))))</f>
        <v/>
      </c>
      <c r="J139" s="14" t="str">
        <f aca="false">IF(B139="","",SUMIFS(Reservations!$G:$G,Reservations!$B:$B,B139))</f>
        <v/>
      </c>
      <c r="K139" s="14" t="str">
        <f aca="false">IF(OR(B139="",G139=""),"",G139-J139)</f>
        <v/>
      </c>
      <c r="L139" s="15" t="str">
        <f aca="false">IF(K139="","",IF(K139&gt;0,"À appeler",IF(K139=0,"Réservé","Trop réservé")))</f>
        <v/>
      </c>
      <c r="M139" s="11"/>
    </row>
    <row r="140" customFormat="false" ht="15" hidden="false" customHeight="false" outlineLevel="0" collapsed="false">
      <c r="A140" s="10"/>
      <c r="B140" s="11"/>
      <c r="C140" s="11"/>
      <c r="D140" s="11"/>
      <c r="E140" s="11"/>
      <c r="F140" s="11"/>
      <c r="G140" s="12"/>
      <c r="H140" s="13" t="str">
        <f aca="false">IF(F140="","",IFERROR(INDEX(Tarifs!$B$2:$B$9,MATCH(F140,Tarifs!$A$2:$A$9,0)),""))</f>
        <v/>
      </c>
      <c r="I140" s="13" t="str">
        <f aca="false">IF(OR(G140="",H140=""),"",G140*H140*(1-IF(G140&gt;=Tarifs!$A$17,Tarifs!$B$17,IF(G140&gt;=Tarifs!$A$16,Tarifs!$B$16,0))))</f>
        <v/>
      </c>
      <c r="J140" s="14" t="str">
        <f aca="false">IF(B140="","",SUMIFS(Reservations!$G:$G,Reservations!$B:$B,B140))</f>
        <v/>
      </c>
      <c r="K140" s="14" t="str">
        <f aca="false">IF(OR(B140="",G140=""),"",G140-J140)</f>
        <v/>
      </c>
      <c r="L140" s="15" t="str">
        <f aca="false">IF(K140="","",IF(K140&gt;0,"À appeler",IF(K140=0,"Réservé","Trop réservé")))</f>
        <v/>
      </c>
      <c r="M140" s="11"/>
    </row>
    <row r="141" customFormat="false" ht="15" hidden="false" customHeight="false" outlineLevel="0" collapsed="false">
      <c r="A141" s="10"/>
      <c r="B141" s="11"/>
      <c r="C141" s="11"/>
      <c r="D141" s="11"/>
      <c r="E141" s="11"/>
      <c r="F141" s="11"/>
      <c r="G141" s="12"/>
      <c r="H141" s="13" t="str">
        <f aca="false">IF(F141="","",IFERROR(INDEX(Tarifs!$B$2:$B$9,MATCH(F141,Tarifs!$A$2:$A$9,0)),""))</f>
        <v/>
      </c>
      <c r="I141" s="13" t="str">
        <f aca="false">IF(OR(G141="",H141=""),"",G141*H141*(1-IF(G141&gt;=Tarifs!$A$17,Tarifs!$B$17,IF(G141&gt;=Tarifs!$A$16,Tarifs!$B$16,0))))</f>
        <v/>
      </c>
      <c r="J141" s="14" t="str">
        <f aca="false">IF(B141="","",SUMIFS(Reservations!$G:$G,Reservations!$B:$B,B141))</f>
        <v/>
      </c>
      <c r="K141" s="14" t="str">
        <f aca="false">IF(OR(B141="",G141=""),"",G141-J141)</f>
        <v/>
      </c>
      <c r="L141" s="15" t="str">
        <f aca="false">IF(K141="","",IF(K141&gt;0,"À appeler",IF(K141=0,"Réservé","Trop réservé")))</f>
        <v/>
      </c>
      <c r="M141" s="11"/>
    </row>
    <row r="142" customFormat="false" ht="15" hidden="false" customHeight="false" outlineLevel="0" collapsed="false">
      <c r="A142" s="10"/>
      <c r="B142" s="11"/>
      <c r="C142" s="11"/>
      <c r="D142" s="11"/>
      <c r="E142" s="11"/>
      <c r="F142" s="11"/>
      <c r="G142" s="12"/>
      <c r="H142" s="13" t="str">
        <f aca="false">IF(F142="","",IFERROR(INDEX(Tarifs!$B$2:$B$9,MATCH(F142,Tarifs!$A$2:$A$9,0)),""))</f>
        <v/>
      </c>
      <c r="I142" s="13" t="str">
        <f aca="false">IF(OR(G142="",H142=""),"",G142*H142*(1-IF(G142&gt;=Tarifs!$A$17,Tarifs!$B$17,IF(G142&gt;=Tarifs!$A$16,Tarifs!$B$16,0))))</f>
        <v/>
      </c>
      <c r="J142" s="14" t="str">
        <f aca="false">IF(B142="","",SUMIFS(Reservations!$G:$G,Reservations!$B:$B,B142))</f>
        <v/>
      </c>
      <c r="K142" s="14" t="str">
        <f aca="false">IF(OR(B142="",G142=""),"",G142-J142)</f>
        <v/>
      </c>
      <c r="L142" s="15" t="str">
        <f aca="false">IF(K142="","",IF(K142&gt;0,"À appeler",IF(K142=0,"Réservé","Trop réservé")))</f>
        <v/>
      </c>
      <c r="M142" s="11"/>
    </row>
    <row r="143" customFormat="false" ht="15" hidden="false" customHeight="false" outlineLevel="0" collapsed="false">
      <c r="A143" s="10"/>
      <c r="B143" s="11"/>
      <c r="C143" s="11"/>
      <c r="D143" s="11"/>
      <c r="E143" s="11"/>
      <c r="F143" s="11"/>
      <c r="G143" s="12"/>
      <c r="H143" s="13" t="str">
        <f aca="false">IF(F143="","",IFERROR(INDEX(Tarifs!$B$2:$B$9,MATCH(F143,Tarifs!$A$2:$A$9,0)),""))</f>
        <v/>
      </c>
      <c r="I143" s="13" t="str">
        <f aca="false">IF(OR(G143="",H143=""),"",G143*H143*(1-IF(G143&gt;=Tarifs!$A$17,Tarifs!$B$17,IF(G143&gt;=Tarifs!$A$16,Tarifs!$B$16,0))))</f>
        <v/>
      </c>
      <c r="J143" s="14" t="str">
        <f aca="false">IF(B143="","",SUMIFS(Reservations!$G:$G,Reservations!$B:$B,B143))</f>
        <v/>
      </c>
      <c r="K143" s="14" t="str">
        <f aca="false">IF(OR(B143="",G143=""),"",G143-J143)</f>
        <v/>
      </c>
      <c r="L143" s="15" t="str">
        <f aca="false">IF(K143="","",IF(K143&gt;0,"À appeler",IF(K143=0,"Réservé","Trop réservé")))</f>
        <v/>
      </c>
      <c r="M143" s="11"/>
    </row>
    <row r="144" customFormat="false" ht="15" hidden="false" customHeight="false" outlineLevel="0" collapsed="false">
      <c r="A144" s="10"/>
      <c r="B144" s="11"/>
      <c r="C144" s="11"/>
      <c r="D144" s="11"/>
      <c r="E144" s="11"/>
      <c r="F144" s="11"/>
      <c r="G144" s="12"/>
      <c r="H144" s="13" t="str">
        <f aca="false">IF(F144="","",IFERROR(INDEX(Tarifs!$B$2:$B$9,MATCH(F144,Tarifs!$A$2:$A$9,0)),""))</f>
        <v/>
      </c>
      <c r="I144" s="13" t="str">
        <f aca="false">IF(OR(G144="",H144=""),"",G144*H144*(1-IF(G144&gt;=Tarifs!$A$17,Tarifs!$B$17,IF(G144&gt;=Tarifs!$A$16,Tarifs!$B$16,0))))</f>
        <v/>
      </c>
      <c r="J144" s="14" t="str">
        <f aca="false">IF(B144="","",SUMIFS(Reservations!$G:$G,Reservations!$B:$B,B144))</f>
        <v/>
      </c>
      <c r="K144" s="14" t="str">
        <f aca="false">IF(OR(B144="",G144=""),"",G144-J144)</f>
        <v/>
      </c>
      <c r="L144" s="15" t="str">
        <f aca="false">IF(K144="","",IF(K144&gt;0,"À appeler",IF(K144=0,"Réservé","Trop réservé")))</f>
        <v/>
      </c>
      <c r="M144" s="11"/>
    </row>
    <row r="145" customFormat="false" ht="15" hidden="false" customHeight="false" outlineLevel="0" collapsed="false">
      <c r="A145" s="10"/>
      <c r="B145" s="11"/>
      <c r="C145" s="11"/>
      <c r="D145" s="11"/>
      <c r="E145" s="11"/>
      <c r="F145" s="11"/>
      <c r="G145" s="12"/>
      <c r="H145" s="13" t="str">
        <f aca="false">IF(F145="","",IFERROR(INDEX(Tarifs!$B$2:$B$9,MATCH(F145,Tarifs!$A$2:$A$9,0)),""))</f>
        <v/>
      </c>
      <c r="I145" s="13" t="str">
        <f aca="false">IF(OR(G145="",H145=""),"",G145*H145*(1-IF(G145&gt;=Tarifs!$A$17,Tarifs!$B$17,IF(G145&gt;=Tarifs!$A$16,Tarifs!$B$16,0))))</f>
        <v/>
      </c>
      <c r="J145" s="14" t="str">
        <f aca="false">IF(B145="","",SUMIFS(Reservations!$G:$G,Reservations!$B:$B,B145))</f>
        <v/>
      </c>
      <c r="K145" s="14" t="str">
        <f aca="false">IF(OR(B145="",G145=""),"",G145-J145)</f>
        <v/>
      </c>
      <c r="L145" s="15" t="str">
        <f aca="false">IF(K145="","",IF(K145&gt;0,"À appeler",IF(K145=0,"Réservé","Trop réservé")))</f>
        <v/>
      </c>
      <c r="M145" s="11"/>
    </row>
    <row r="146" customFormat="false" ht="15" hidden="false" customHeight="false" outlineLevel="0" collapsed="false">
      <c r="A146" s="10"/>
      <c r="B146" s="11"/>
      <c r="C146" s="11"/>
      <c r="D146" s="11"/>
      <c r="E146" s="11"/>
      <c r="F146" s="11"/>
      <c r="G146" s="12"/>
      <c r="H146" s="13" t="str">
        <f aca="false">IF(F146="","",IFERROR(INDEX(Tarifs!$B$2:$B$9,MATCH(F146,Tarifs!$A$2:$A$9,0)),""))</f>
        <v/>
      </c>
      <c r="I146" s="13" t="str">
        <f aca="false">IF(OR(G146="",H146=""),"",G146*H146*(1-IF(G146&gt;=Tarifs!$A$17,Tarifs!$B$17,IF(G146&gt;=Tarifs!$A$16,Tarifs!$B$16,0))))</f>
        <v/>
      </c>
      <c r="J146" s="14" t="str">
        <f aca="false">IF(B146="","",SUMIFS(Reservations!$G:$G,Reservations!$B:$B,B146))</f>
        <v/>
      </c>
      <c r="K146" s="14" t="str">
        <f aca="false">IF(OR(B146="",G146=""),"",G146-J146)</f>
        <v/>
      </c>
      <c r="L146" s="15" t="str">
        <f aca="false">IF(K146="","",IF(K146&gt;0,"À appeler",IF(K146=0,"Réservé","Trop réservé")))</f>
        <v/>
      </c>
      <c r="M146" s="11"/>
    </row>
    <row r="147" customFormat="false" ht="15" hidden="false" customHeight="false" outlineLevel="0" collapsed="false">
      <c r="A147" s="10"/>
      <c r="B147" s="11"/>
      <c r="C147" s="11"/>
      <c r="D147" s="11"/>
      <c r="E147" s="11"/>
      <c r="F147" s="11"/>
      <c r="G147" s="12"/>
      <c r="H147" s="13" t="str">
        <f aca="false">IF(F147="","",IFERROR(INDEX(Tarifs!$B$2:$B$9,MATCH(F147,Tarifs!$A$2:$A$9,0)),""))</f>
        <v/>
      </c>
      <c r="I147" s="13" t="str">
        <f aca="false">IF(OR(G147="",H147=""),"",G147*H147*(1-IF(G147&gt;=Tarifs!$A$17,Tarifs!$B$17,IF(G147&gt;=Tarifs!$A$16,Tarifs!$B$16,0))))</f>
        <v/>
      </c>
      <c r="J147" s="14" t="str">
        <f aca="false">IF(B147="","",SUMIFS(Reservations!$G:$G,Reservations!$B:$B,B147))</f>
        <v/>
      </c>
      <c r="K147" s="14" t="str">
        <f aca="false">IF(OR(B147="",G147=""),"",G147-J147)</f>
        <v/>
      </c>
      <c r="L147" s="15" t="str">
        <f aca="false">IF(K147="","",IF(K147&gt;0,"À appeler",IF(K147=0,"Réservé","Trop réservé")))</f>
        <v/>
      </c>
      <c r="M147" s="11"/>
    </row>
    <row r="148" customFormat="false" ht="15" hidden="false" customHeight="false" outlineLevel="0" collapsed="false">
      <c r="A148" s="10"/>
      <c r="B148" s="11"/>
      <c r="C148" s="11"/>
      <c r="D148" s="11"/>
      <c r="E148" s="11"/>
      <c r="F148" s="11"/>
      <c r="G148" s="12"/>
      <c r="H148" s="13" t="str">
        <f aca="false">IF(F148="","",IFERROR(INDEX(Tarifs!$B$2:$B$9,MATCH(F148,Tarifs!$A$2:$A$9,0)),""))</f>
        <v/>
      </c>
      <c r="I148" s="13" t="str">
        <f aca="false">IF(OR(G148="",H148=""),"",G148*H148*(1-IF(G148&gt;=Tarifs!$A$17,Tarifs!$B$17,IF(G148&gt;=Tarifs!$A$16,Tarifs!$B$16,0))))</f>
        <v/>
      </c>
      <c r="J148" s="14" t="str">
        <f aca="false">IF(B148="","",SUMIFS(Reservations!$G:$G,Reservations!$B:$B,B148))</f>
        <v/>
      </c>
      <c r="K148" s="14" t="str">
        <f aca="false">IF(OR(B148="",G148=""),"",G148-J148)</f>
        <v/>
      </c>
      <c r="L148" s="15" t="str">
        <f aca="false">IF(K148="","",IF(K148&gt;0,"À appeler",IF(K148=0,"Réservé","Trop réservé")))</f>
        <v/>
      </c>
      <c r="M148" s="11"/>
    </row>
    <row r="149" customFormat="false" ht="15" hidden="false" customHeight="false" outlineLevel="0" collapsed="false">
      <c r="A149" s="10"/>
      <c r="B149" s="11"/>
      <c r="C149" s="11"/>
      <c r="D149" s="11"/>
      <c r="E149" s="11"/>
      <c r="F149" s="11"/>
      <c r="G149" s="12"/>
      <c r="H149" s="13" t="str">
        <f aca="false">IF(F149="","",IFERROR(INDEX(Tarifs!$B$2:$B$9,MATCH(F149,Tarifs!$A$2:$A$9,0)),""))</f>
        <v/>
      </c>
      <c r="I149" s="13" t="str">
        <f aca="false">IF(OR(G149="",H149=""),"",G149*H149*(1-IF(G149&gt;=Tarifs!$A$17,Tarifs!$B$17,IF(G149&gt;=Tarifs!$A$16,Tarifs!$B$16,0))))</f>
        <v/>
      </c>
      <c r="J149" s="14" t="str">
        <f aca="false">IF(B149="","",SUMIFS(Reservations!$G:$G,Reservations!$B:$B,B149))</f>
        <v/>
      </c>
      <c r="K149" s="14" t="str">
        <f aca="false">IF(OR(B149="",G149=""),"",G149-J149)</f>
        <v/>
      </c>
      <c r="L149" s="15" t="str">
        <f aca="false">IF(K149="","",IF(K149&gt;0,"À appeler",IF(K149=0,"Réservé","Trop réservé")))</f>
        <v/>
      </c>
      <c r="M149" s="11"/>
    </row>
    <row r="150" customFormat="false" ht="15" hidden="false" customHeight="false" outlineLevel="0" collapsed="false">
      <c r="A150" s="10"/>
      <c r="B150" s="11"/>
      <c r="C150" s="11"/>
      <c r="D150" s="11"/>
      <c r="E150" s="11"/>
      <c r="F150" s="11"/>
      <c r="G150" s="12"/>
      <c r="H150" s="13" t="str">
        <f aca="false">IF(F150="","",IFERROR(INDEX(Tarifs!$B$2:$B$9,MATCH(F150,Tarifs!$A$2:$A$9,0)),""))</f>
        <v/>
      </c>
      <c r="I150" s="13" t="str">
        <f aca="false">IF(OR(G150="",H150=""),"",G150*H150*(1-IF(G150&gt;=Tarifs!$A$17,Tarifs!$B$17,IF(G150&gt;=Tarifs!$A$16,Tarifs!$B$16,0))))</f>
        <v/>
      </c>
      <c r="J150" s="14" t="str">
        <f aca="false">IF(B150="","",SUMIFS(Reservations!$G:$G,Reservations!$B:$B,B150))</f>
        <v/>
      </c>
      <c r="K150" s="14" t="str">
        <f aca="false">IF(OR(B150="",G150=""),"",G150-J150)</f>
        <v/>
      </c>
      <c r="L150" s="15" t="str">
        <f aca="false">IF(K150="","",IF(K150&gt;0,"À appeler",IF(K150=0,"Réservé","Trop réservé")))</f>
        <v/>
      </c>
      <c r="M150" s="11"/>
    </row>
    <row r="151" customFormat="false" ht="15" hidden="false" customHeight="false" outlineLevel="0" collapsed="false">
      <c r="A151" s="10"/>
      <c r="B151" s="11"/>
      <c r="C151" s="11"/>
      <c r="D151" s="11"/>
      <c r="E151" s="11"/>
      <c r="F151" s="11"/>
      <c r="G151" s="12"/>
      <c r="H151" s="13" t="str">
        <f aca="false">IF(F151="","",IFERROR(INDEX(Tarifs!$B$2:$B$9,MATCH(F151,Tarifs!$A$2:$A$9,0)),""))</f>
        <v/>
      </c>
      <c r="I151" s="13" t="str">
        <f aca="false">IF(OR(G151="",H151=""),"",G151*H151*(1-IF(G151&gt;=Tarifs!$A$17,Tarifs!$B$17,IF(G151&gt;=Tarifs!$A$16,Tarifs!$B$16,0))))</f>
        <v/>
      </c>
      <c r="J151" s="14" t="str">
        <f aca="false">IF(B151="","",SUMIFS(Reservations!$G:$G,Reservations!$B:$B,B151))</f>
        <v/>
      </c>
      <c r="K151" s="14" t="str">
        <f aca="false">IF(OR(B151="",G151=""),"",G151-J151)</f>
        <v/>
      </c>
      <c r="L151" s="15" t="str">
        <f aca="false">IF(K151="","",IF(K151&gt;0,"À appeler",IF(K151=0,"Réservé","Trop réservé")))</f>
        <v/>
      </c>
      <c r="M151" s="11"/>
    </row>
    <row r="152" customFormat="false" ht="15" hidden="false" customHeight="false" outlineLevel="0" collapsed="false">
      <c r="A152" s="10"/>
      <c r="B152" s="11"/>
      <c r="C152" s="11"/>
      <c r="D152" s="11"/>
      <c r="E152" s="11"/>
      <c r="F152" s="11"/>
      <c r="G152" s="12"/>
      <c r="H152" s="13" t="str">
        <f aca="false">IF(F152="","",IFERROR(INDEX(Tarifs!$B$2:$B$9,MATCH(F152,Tarifs!$A$2:$A$9,0)),""))</f>
        <v/>
      </c>
      <c r="I152" s="13" t="str">
        <f aca="false">IF(OR(G152="",H152=""),"",G152*H152*(1-IF(G152&gt;=Tarifs!$A$17,Tarifs!$B$17,IF(G152&gt;=Tarifs!$A$16,Tarifs!$B$16,0))))</f>
        <v/>
      </c>
      <c r="J152" s="14" t="str">
        <f aca="false">IF(B152="","",SUMIFS(Reservations!$G:$G,Reservations!$B:$B,B152))</f>
        <v/>
      </c>
      <c r="K152" s="14" t="str">
        <f aca="false">IF(OR(B152="",G152=""),"",G152-J152)</f>
        <v/>
      </c>
      <c r="L152" s="15" t="str">
        <f aca="false">IF(K152="","",IF(K152&gt;0,"À appeler",IF(K152=0,"Réservé","Trop réservé")))</f>
        <v/>
      </c>
      <c r="M152" s="11"/>
    </row>
    <row r="153" customFormat="false" ht="15" hidden="false" customHeight="false" outlineLevel="0" collapsed="false">
      <c r="A153" s="10"/>
      <c r="B153" s="11"/>
      <c r="C153" s="11"/>
      <c r="D153" s="11"/>
      <c r="E153" s="11"/>
      <c r="F153" s="11"/>
      <c r="G153" s="12"/>
      <c r="H153" s="13" t="str">
        <f aca="false">IF(F153="","",IFERROR(INDEX(Tarifs!$B$2:$B$9,MATCH(F153,Tarifs!$A$2:$A$9,0)),""))</f>
        <v/>
      </c>
      <c r="I153" s="13" t="str">
        <f aca="false">IF(OR(G153="",H153=""),"",G153*H153*(1-IF(G153&gt;=Tarifs!$A$17,Tarifs!$B$17,IF(G153&gt;=Tarifs!$A$16,Tarifs!$B$16,0))))</f>
        <v/>
      </c>
      <c r="J153" s="14" t="str">
        <f aca="false">IF(B153="","",SUMIFS(Reservations!$G:$G,Reservations!$B:$B,B153))</f>
        <v/>
      </c>
      <c r="K153" s="14" t="str">
        <f aca="false">IF(OR(B153="",G153=""),"",G153-J153)</f>
        <v/>
      </c>
      <c r="L153" s="15" t="str">
        <f aca="false">IF(K153="","",IF(K153&gt;0,"À appeler",IF(K153=0,"Réservé","Trop réservé")))</f>
        <v/>
      </c>
      <c r="M153" s="11"/>
    </row>
    <row r="154" customFormat="false" ht="15" hidden="false" customHeight="false" outlineLevel="0" collapsed="false">
      <c r="A154" s="10"/>
      <c r="B154" s="11"/>
      <c r="C154" s="11"/>
      <c r="D154" s="11"/>
      <c r="E154" s="11"/>
      <c r="F154" s="11"/>
      <c r="G154" s="12"/>
      <c r="H154" s="13" t="str">
        <f aca="false">IF(F154="","",IFERROR(INDEX(Tarifs!$B$2:$B$9,MATCH(F154,Tarifs!$A$2:$A$9,0)),""))</f>
        <v/>
      </c>
      <c r="I154" s="13" t="str">
        <f aca="false">IF(OR(G154="",H154=""),"",G154*H154*(1-IF(G154&gt;=Tarifs!$A$17,Tarifs!$B$17,IF(G154&gt;=Tarifs!$A$16,Tarifs!$B$16,0))))</f>
        <v/>
      </c>
      <c r="J154" s="14" t="str">
        <f aca="false">IF(B154="","",SUMIFS(Reservations!$G:$G,Reservations!$B:$B,B154))</f>
        <v/>
      </c>
      <c r="K154" s="14" t="str">
        <f aca="false">IF(OR(B154="",G154=""),"",G154-J154)</f>
        <v/>
      </c>
      <c r="L154" s="15" t="str">
        <f aca="false">IF(K154="","",IF(K154&gt;0,"À appeler",IF(K154=0,"Réservé","Trop réservé")))</f>
        <v/>
      </c>
      <c r="M154" s="11"/>
    </row>
    <row r="155" customFormat="false" ht="15" hidden="false" customHeight="false" outlineLevel="0" collapsed="false">
      <c r="A155" s="10"/>
      <c r="B155" s="11"/>
      <c r="C155" s="11"/>
      <c r="D155" s="11"/>
      <c r="E155" s="11"/>
      <c r="F155" s="11"/>
      <c r="G155" s="12"/>
      <c r="H155" s="13" t="str">
        <f aca="false">IF(F155="","",IFERROR(INDEX(Tarifs!$B$2:$B$9,MATCH(F155,Tarifs!$A$2:$A$9,0)),""))</f>
        <v/>
      </c>
      <c r="I155" s="13" t="str">
        <f aca="false">IF(OR(G155="",H155=""),"",G155*H155*(1-IF(G155&gt;=Tarifs!$A$17,Tarifs!$B$17,IF(G155&gt;=Tarifs!$A$16,Tarifs!$B$16,0))))</f>
        <v/>
      </c>
      <c r="J155" s="14" t="str">
        <f aca="false">IF(B155="","",SUMIFS(Reservations!$G:$G,Reservations!$B:$B,B155))</f>
        <v/>
      </c>
      <c r="K155" s="14" t="str">
        <f aca="false">IF(OR(B155="",G155=""),"",G155-J155)</f>
        <v/>
      </c>
      <c r="L155" s="15" t="str">
        <f aca="false">IF(K155="","",IF(K155&gt;0,"À appeler",IF(K155=0,"Réservé","Trop réservé")))</f>
        <v/>
      </c>
      <c r="M155" s="11"/>
    </row>
    <row r="156" customFormat="false" ht="15" hidden="false" customHeight="false" outlineLevel="0" collapsed="false">
      <c r="A156" s="10"/>
      <c r="B156" s="11"/>
      <c r="C156" s="11"/>
      <c r="D156" s="11"/>
      <c r="E156" s="11"/>
      <c r="F156" s="11"/>
      <c r="G156" s="12"/>
      <c r="H156" s="13" t="str">
        <f aca="false">IF(F156="","",IFERROR(INDEX(Tarifs!$B$2:$B$9,MATCH(F156,Tarifs!$A$2:$A$9,0)),""))</f>
        <v/>
      </c>
      <c r="I156" s="13" t="str">
        <f aca="false">IF(OR(G156="",H156=""),"",G156*H156*(1-IF(G156&gt;=Tarifs!$A$17,Tarifs!$B$17,IF(G156&gt;=Tarifs!$A$16,Tarifs!$B$16,0))))</f>
        <v/>
      </c>
      <c r="J156" s="14" t="str">
        <f aca="false">IF(B156="","",SUMIFS(Reservations!$G:$G,Reservations!$B:$B,B156))</f>
        <v/>
      </c>
      <c r="K156" s="14" t="str">
        <f aca="false">IF(OR(B156="",G156=""),"",G156-J156)</f>
        <v/>
      </c>
      <c r="L156" s="15" t="str">
        <f aca="false">IF(K156="","",IF(K156&gt;0,"À appeler",IF(K156=0,"Réservé","Trop réservé")))</f>
        <v/>
      </c>
      <c r="M156" s="11"/>
    </row>
    <row r="157" customFormat="false" ht="15" hidden="false" customHeight="false" outlineLevel="0" collapsed="false">
      <c r="A157" s="10"/>
      <c r="B157" s="11"/>
      <c r="C157" s="11"/>
      <c r="D157" s="11"/>
      <c r="E157" s="11"/>
      <c r="F157" s="11"/>
      <c r="G157" s="12"/>
      <c r="H157" s="13" t="str">
        <f aca="false">IF(F157="","",IFERROR(INDEX(Tarifs!$B$2:$B$9,MATCH(F157,Tarifs!$A$2:$A$9,0)),""))</f>
        <v/>
      </c>
      <c r="I157" s="13" t="str">
        <f aca="false">IF(OR(G157="",H157=""),"",G157*H157*(1-IF(G157&gt;=Tarifs!$A$17,Tarifs!$B$17,IF(G157&gt;=Tarifs!$A$16,Tarifs!$B$16,0))))</f>
        <v/>
      </c>
      <c r="J157" s="14" t="str">
        <f aca="false">IF(B157="","",SUMIFS(Reservations!$G:$G,Reservations!$B:$B,B157))</f>
        <v/>
      </c>
      <c r="K157" s="14" t="str">
        <f aca="false">IF(OR(B157="",G157=""),"",G157-J157)</f>
        <v/>
      </c>
      <c r="L157" s="15" t="str">
        <f aca="false">IF(K157="","",IF(K157&gt;0,"À appeler",IF(K157=0,"Réservé","Trop réservé")))</f>
        <v/>
      </c>
      <c r="M157" s="11"/>
    </row>
    <row r="158" customFormat="false" ht="15" hidden="false" customHeight="false" outlineLevel="0" collapsed="false">
      <c r="A158" s="10"/>
      <c r="B158" s="11"/>
      <c r="C158" s="11"/>
      <c r="D158" s="11"/>
      <c r="E158" s="11"/>
      <c r="F158" s="11"/>
      <c r="G158" s="12"/>
      <c r="H158" s="13" t="str">
        <f aca="false">IF(F158="","",IFERROR(INDEX(Tarifs!$B$2:$B$9,MATCH(F158,Tarifs!$A$2:$A$9,0)),""))</f>
        <v/>
      </c>
      <c r="I158" s="13" t="str">
        <f aca="false">IF(OR(G158="",H158=""),"",G158*H158*(1-IF(G158&gt;=Tarifs!$A$17,Tarifs!$B$17,IF(G158&gt;=Tarifs!$A$16,Tarifs!$B$16,0))))</f>
        <v/>
      </c>
      <c r="J158" s="14" t="str">
        <f aca="false">IF(B158="","",SUMIFS(Reservations!$G:$G,Reservations!$B:$B,B158))</f>
        <v/>
      </c>
      <c r="K158" s="14" t="str">
        <f aca="false">IF(OR(B158="",G158=""),"",G158-J158)</f>
        <v/>
      </c>
      <c r="L158" s="15" t="str">
        <f aca="false">IF(K158="","",IF(K158&gt;0,"À appeler",IF(K158=0,"Réservé","Trop réservé")))</f>
        <v/>
      </c>
      <c r="M158" s="11"/>
    </row>
    <row r="159" customFormat="false" ht="15" hidden="false" customHeight="false" outlineLevel="0" collapsed="false">
      <c r="A159" s="10"/>
      <c r="B159" s="11"/>
      <c r="C159" s="11"/>
      <c r="D159" s="11"/>
      <c r="E159" s="11"/>
      <c r="F159" s="11"/>
      <c r="G159" s="12"/>
      <c r="H159" s="13" t="str">
        <f aca="false">IF(F159="","",IFERROR(INDEX(Tarifs!$B$2:$B$9,MATCH(F159,Tarifs!$A$2:$A$9,0)),""))</f>
        <v/>
      </c>
      <c r="I159" s="13" t="str">
        <f aca="false">IF(OR(G159="",H159=""),"",G159*H159*(1-IF(G159&gt;=Tarifs!$A$17,Tarifs!$B$17,IF(G159&gt;=Tarifs!$A$16,Tarifs!$B$16,0))))</f>
        <v/>
      </c>
      <c r="J159" s="14" t="str">
        <f aca="false">IF(B159="","",SUMIFS(Reservations!$G:$G,Reservations!$B:$B,B159))</f>
        <v/>
      </c>
      <c r="K159" s="14" t="str">
        <f aca="false">IF(OR(B159="",G159=""),"",G159-J159)</f>
        <v/>
      </c>
      <c r="L159" s="15" t="str">
        <f aca="false">IF(K159="","",IF(K159&gt;0,"À appeler",IF(K159=0,"Réservé","Trop réservé")))</f>
        <v/>
      </c>
      <c r="M159" s="11"/>
    </row>
    <row r="160" customFormat="false" ht="15" hidden="false" customHeight="false" outlineLevel="0" collapsed="false">
      <c r="A160" s="10"/>
      <c r="B160" s="11"/>
      <c r="C160" s="11"/>
      <c r="D160" s="11"/>
      <c r="E160" s="11"/>
      <c r="F160" s="11"/>
      <c r="G160" s="12"/>
      <c r="H160" s="13" t="str">
        <f aca="false">IF(F160="","",IFERROR(INDEX(Tarifs!$B$2:$B$9,MATCH(F160,Tarifs!$A$2:$A$9,0)),""))</f>
        <v/>
      </c>
      <c r="I160" s="13" t="str">
        <f aca="false">IF(OR(G160="",H160=""),"",G160*H160*(1-IF(G160&gt;=Tarifs!$A$17,Tarifs!$B$17,IF(G160&gt;=Tarifs!$A$16,Tarifs!$B$16,0))))</f>
        <v/>
      </c>
      <c r="J160" s="14" t="str">
        <f aca="false">IF(B160="","",SUMIFS(Reservations!$G:$G,Reservations!$B:$B,B160))</f>
        <v/>
      </c>
      <c r="K160" s="14" t="str">
        <f aca="false">IF(OR(B160="",G160=""),"",G160-J160)</f>
        <v/>
      </c>
      <c r="L160" s="15" t="str">
        <f aca="false">IF(K160="","",IF(K160&gt;0,"À appeler",IF(K160=0,"Réservé","Trop réservé")))</f>
        <v/>
      </c>
      <c r="M160" s="11"/>
    </row>
    <row r="161" customFormat="false" ht="15" hidden="false" customHeight="false" outlineLevel="0" collapsed="false">
      <c r="A161" s="10"/>
      <c r="B161" s="11"/>
      <c r="C161" s="11"/>
      <c r="D161" s="11"/>
      <c r="E161" s="11"/>
      <c r="F161" s="11"/>
      <c r="G161" s="12"/>
      <c r="H161" s="13" t="str">
        <f aca="false">IF(F161="","",IFERROR(INDEX(Tarifs!$B$2:$B$9,MATCH(F161,Tarifs!$A$2:$A$9,0)),""))</f>
        <v/>
      </c>
      <c r="I161" s="13" t="str">
        <f aca="false">IF(OR(G161="",H161=""),"",G161*H161*(1-IF(G161&gt;=Tarifs!$A$17,Tarifs!$B$17,IF(G161&gt;=Tarifs!$A$16,Tarifs!$B$16,0))))</f>
        <v/>
      </c>
      <c r="J161" s="14" t="str">
        <f aca="false">IF(B161="","",SUMIFS(Reservations!$G:$G,Reservations!$B:$B,B161))</f>
        <v/>
      </c>
      <c r="K161" s="14" t="str">
        <f aca="false">IF(OR(B161="",G161=""),"",G161-J161)</f>
        <v/>
      </c>
      <c r="L161" s="15" t="str">
        <f aca="false">IF(K161="","",IF(K161&gt;0,"À appeler",IF(K161=0,"Réservé","Trop réservé")))</f>
        <v/>
      </c>
      <c r="M161" s="11"/>
    </row>
    <row r="162" customFormat="false" ht="15" hidden="false" customHeight="false" outlineLevel="0" collapsed="false">
      <c r="A162" s="10"/>
      <c r="B162" s="11"/>
      <c r="C162" s="11"/>
      <c r="D162" s="11"/>
      <c r="E162" s="11"/>
      <c r="F162" s="11"/>
      <c r="G162" s="12"/>
      <c r="H162" s="13" t="str">
        <f aca="false">IF(F162="","",IFERROR(INDEX(Tarifs!$B$2:$B$9,MATCH(F162,Tarifs!$A$2:$A$9,0)),""))</f>
        <v/>
      </c>
      <c r="I162" s="13" t="str">
        <f aca="false">IF(OR(G162="",H162=""),"",G162*H162*(1-IF(G162&gt;=Tarifs!$A$17,Tarifs!$B$17,IF(G162&gt;=Tarifs!$A$16,Tarifs!$B$16,0))))</f>
        <v/>
      </c>
      <c r="J162" s="14" t="str">
        <f aca="false">IF(B162="","",SUMIFS(Reservations!$G:$G,Reservations!$B:$B,B162))</f>
        <v/>
      </c>
      <c r="K162" s="14" t="str">
        <f aca="false">IF(OR(B162="",G162=""),"",G162-J162)</f>
        <v/>
      </c>
      <c r="L162" s="15" t="str">
        <f aca="false">IF(K162="","",IF(K162&gt;0,"À appeler",IF(K162=0,"Réservé","Trop réservé")))</f>
        <v/>
      </c>
      <c r="M162" s="11"/>
    </row>
    <row r="163" customFormat="false" ht="15" hidden="false" customHeight="false" outlineLevel="0" collapsed="false">
      <c r="A163" s="10"/>
      <c r="B163" s="11"/>
      <c r="C163" s="11"/>
      <c r="D163" s="11"/>
      <c r="E163" s="11"/>
      <c r="F163" s="11"/>
      <c r="G163" s="12"/>
      <c r="H163" s="13" t="str">
        <f aca="false">IF(F163="","",IFERROR(INDEX(Tarifs!$B$2:$B$9,MATCH(F163,Tarifs!$A$2:$A$9,0)),""))</f>
        <v/>
      </c>
      <c r="I163" s="13" t="str">
        <f aca="false">IF(OR(G163="",H163=""),"",G163*H163*(1-IF(G163&gt;=Tarifs!$A$17,Tarifs!$B$17,IF(G163&gt;=Tarifs!$A$16,Tarifs!$B$16,0))))</f>
        <v/>
      </c>
      <c r="J163" s="14" t="str">
        <f aca="false">IF(B163="","",SUMIFS(Reservations!$G:$G,Reservations!$B:$B,B163))</f>
        <v/>
      </c>
      <c r="K163" s="14" t="str">
        <f aca="false">IF(OR(B163="",G163=""),"",G163-J163)</f>
        <v/>
      </c>
      <c r="L163" s="15" t="str">
        <f aca="false">IF(K163="","",IF(K163&gt;0,"À appeler",IF(K163=0,"Réservé","Trop réservé")))</f>
        <v/>
      </c>
      <c r="M163" s="11"/>
    </row>
    <row r="164" customFormat="false" ht="15" hidden="false" customHeight="false" outlineLevel="0" collapsed="false">
      <c r="A164" s="10"/>
      <c r="B164" s="11"/>
      <c r="C164" s="11"/>
      <c r="D164" s="11"/>
      <c r="E164" s="11"/>
      <c r="F164" s="11"/>
      <c r="G164" s="12"/>
      <c r="H164" s="13" t="str">
        <f aca="false">IF(F164="","",IFERROR(INDEX(Tarifs!$B$2:$B$9,MATCH(F164,Tarifs!$A$2:$A$9,0)),""))</f>
        <v/>
      </c>
      <c r="I164" s="13" t="str">
        <f aca="false">IF(OR(G164="",H164=""),"",G164*H164*(1-IF(G164&gt;=Tarifs!$A$17,Tarifs!$B$17,IF(G164&gt;=Tarifs!$A$16,Tarifs!$B$16,0))))</f>
        <v/>
      </c>
      <c r="J164" s="14" t="str">
        <f aca="false">IF(B164="","",SUMIFS(Reservations!$G:$G,Reservations!$B:$B,B164))</f>
        <v/>
      </c>
      <c r="K164" s="14" t="str">
        <f aca="false">IF(OR(B164="",G164=""),"",G164-J164)</f>
        <v/>
      </c>
      <c r="L164" s="15" t="str">
        <f aca="false">IF(K164="","",IF(K164&gt;0,"À appeler",IF(K164=0,"Réservé","Trop réservé")))</f>
        <v/>
      </c>
      <c r="M164" s="11"/>
    </row>
    <row r="165" customFormat="false" ht="15" hidden="false" customHeight="false" outlineLevel="0" collapsed="false">
      <c r="A165" s="10"/>
      <c r="B165" s="11"/>
      <c r="C165" s="11"/>
      <c r="D165" s="11"/>
      <c r="E165" s="11"/>
      <c r="F165" s="11"/>
      <c r="G165" s="12"/>
      <c r="H165" s="13" t="str">
        <f aca="false">IF(F165="","",IFERROR(INDEX(Tarifs!$B$2:$B$9,MATCH(F165,Tarifs!$A$2:$A$9,0)),""))</f>
        <v/>
      </c>
      <c r="I165" s="13" t="str">
        <f aca="false">IF(OR(G165="",H165=""),"",G165*H165*(1-IF(G165&gt;=Tarifs!$A$17,Tarifs!$B$17,IF(G165&gt;=Tarifs!$A$16,Tarifs!$B$16,0))))</f>
        <v/>
      </c>
      <c r="J165" s="14" t="str">
        <f aca="false">IF(B165="","",SUMIFS(Reservations!$G:$G,Reservations!$B:$B,B165))</f>
        <v/>
      </c>
      <c r="K165" s="14" t="str">
        <f aca="false">IF(OR(B165="",G165=""),"",G165-J165)</f>
        <v/>
      </c>
      <c r="L165" s="15" t="str">
        <f aca="false">IF(K165="","",IF(K165&gt;0,"À appeler",IF(K165=0,"Réservé","Trop réservé")))</f>
        <v/>
      </c>
      <c r="M165" s="11"/>
    </row>
    <row r="166" customFormat="false" ht="15" hidden="false" customHeight="false" outlineLevel="0" collapsed="false">
      <c r="A166" s="10"/>
      <c r="B166" s="11"/>
      <c r="C166" s="11"/>
      <c r="D166" s="11"/>
      <c r="E166" s="11"/>
      <c r="F166" s="11"/>
      <c r="G166" s="12"/>
      <c r="H166" s="13" t="str">
        <f aca="false">IF(F166="","",IFERROR(INDEX(Tarifs!$B$2:$B$9,MATCH(F166,Tarifs!$A$2:$A$9,0)),""))</f>
        <v/>
      </c>
      <c r="I166" s="13" t="str">
        <f aca="false">IF(OR(G166="",H166=""),"",G166*H166*(1-IF(G166&gt;=Tarifs!$A$17,Tarifs!$B$17,IF(G166&gt;=Tarifs!$A$16,Tarifs!$B$16,0))))</f>
        <v/>
      </c>
      <c r="J166" s="14" t="str">
        <f aca="false">IF(B166="","",SUMIFS(Reservations!$G:$G,Reservations!$B:$B,B166))</f>
        <v/>
      </c>
      <c r="K166" s="14" t="str">
        <f aca="false">IF(OR(B166="",G166=""),"",G166-J166)</f>
        <v/>
      </c>
      <c r="L166" s="15" t="str">
        <f aca="false">IF(K166="","",IF(K166&gt;0,"À appeler",IF(K166=0,"Réservé","Trop réservé")))</f>
        <v/>
      </c>
      <c r="M166" s="11"/>
    </row>
    <row r="167" customFormat="false" ht="15" hidden="false" customHeight="false" outlineLevel="0" collapsed="false">
      <c r="A167" s="10"/>
      <c r="B167" s="11"/>
      <c r="C167" s="11"/>
      <c r="D167" s="11"/>
      <c r="E167" s="11"/>
      <c r="F167" s="11"/>
      <c r="G167" s="12"/>
      <c r="H167" s="13" t="str">
        <f aca="false">IF(F167="","",IFERROR(INDEX(Tarifs!$B$2:$B$9,MATCH(F167,Tarifs!$A$2:$A$9,0)),""))</f>
        <v/>
      </c>
      <c r="I167" s="13" t="str">
        <f aca="false">IF(OR(G167="",H167=""),"",G167*H167*(1-IF(G167&gt;=Tarifs!$A$17,Tarifs!$B$17,IF(G167&gt;=Tarifs!$A$16,Tarifs!$B$16,0))))</f>
        <v/>
      </c>
      <c r="J167" s="14" t="str">
        <f aca="false">IF(B167="","",SUMIFS(Reservations!$G:$G,Reservations!$B:$B,B167))</f>
        <v/>
      </c>
      <c r="K167" s="14" t="str">
        <f aca="false">IF(OR(B167="",G167=""),"",G167-J167)</f>
        <v/>
      </c>
      <c r="L167" s="15" t="str">
        <f aca="false">IF(K167="","",IF(K167&gt;0,"À appeler",IF(K167=0,"Réservé","Trop réservé")))</f>
        <v/>
      </c>
      <c r="M167" s="11"/>
    </row>
    <row r="168" customFormat="false" ht="15" hidden="false" customHeight="false" outlineLevel="0" collapsed="false">
      <c r="A168" s="10"/>
      <c r="B168" s="11"/>
      <c r="C168" s="11"/>
      <c r="D168" s="11"/>
      <c r="E168" s="11"/>
      <c r="F168" s="11"/>
      <c r="G168" s="12"/>
      <c r="H168" s="13" t="str">
        <f aca="false">IF(F168="","",IFERROR(INDEX(Tarifs!$B$2:$B$9,MATCH(F168,Tarifs!$A$2:$A$9,0)),""))</f>
        <v/>
      </c>
      <c r="I168" s="13" t="str">
        <f aca="false">IF(OR(G168="",H168=""),"",G168*H168*(1-IF(G168&gt;=Tarifs!$A$17,Tarifs!$B$17,IF(G168&gt;=Tarifs!$A$16,Tarifs!$B$16,0))))</f>
        <v/>
      </c>
      <c r="J168" s="14" t="str">
        <f aca="false">IF(B168="","",SUMIFS(Reservations!$G:$G,Reservations!$B:$B,B168))</f>
        <v/>
      </c>
      <c r="K168" s="14" t="str">
        <f aca="false">IF(OR(B168="",G168=""),"",G168-J168)</f>
        <v/>
      </c>
      <c r="L168" s="15" t="str">
        <f aca="false">IF(K168="","",IF(K168&gt;0,"À appeler",IF(K168=0,"Réservé","Trop réservé")))</f>
        <v/>
      </c>
      <c r="M168" s="11"/>
    </row>
    <row r="169" customFormat="false" ht="15" hidden="false" customHeight="false" outlineLevel="0" collapsed="false">
      <c r="A169" s="10"/>
      <c r="B169" s="11"/>
      <c r="C169" s="11"/>
      <c r="D169" s="11"/>
      <c r="E169" s="11"/>
      <c r="F169" s="11"/>
      <c r="G169" s="12"/>
      <c r="H169" s="13" t="str">
        <f aca="false">IF(F169="","",IFERROR(INDEX(Tarifs!$B$2:$B$9,MATCH(F169,Tarifs!$A$2:$A$9,0)),""))</f>
        <v/>
      </c>
      <c r="I169" s="13" t="str">
        <f aca="false">IF(OR(G169="",H169=""),"",G169*H169*(1-IF(G169&gt;=Tarifs!$A$17,Tarifs!$B$17,IF(G169&gt;=Tarifs!$A$16,Tarifs!$B$16,0))))</f>
        <v/>
      </c>
      <c r="J169" s="14" t="str">
        <f aca="false">IF(B169="","",SUMIFS(Reservations!$G:$G,Reservations!$B:$B,B169))</f>
        <v/>
      </c>
      <c r="K169" s="14" t="str">
        <f aca="false">IF(OR(B169="",G169=""),"",G169-J169)</f>
        <v/>
      </c>
      <c r="L169" s="15" t="str">
        <f aca="false">IF(K169="","",IF(K169&gt;0,"À appeler",IF(K169=0,"Réservé","Trop réservé")))</f>
        <v/>
      </c>
      <c r="M169" s="11"/>
    </row>
    <row r="170" customFormat="false" ht="15" hidden="false" customHeight="false" outlineLevel="0" collapsed="false">
      <c r="A170" s="10"/>
      <c r="B170" s="11"/>
      <c r="C170" s="11"/>
      <c r="D170" s="11"/>
      <c r="E170" s="11"/>
      <c r="F170" s="11"/>
      <c r="G170" s="12"/>
      <c r="H170" s="13" t="str">
        <f aca="false">IF(F170="","",IFERROR(INDEX(Tarifs!$B$2:$B$9,MATCH(F170,Tarifs!$A$2:$A$9,0)),""))</f>
        <v/>
      </c>
      <c r="I170" s="13" t="str">
        <f aca="false">IF(OR(G170="",H170=""),"",G170*H170*(1-IF(G170&gt;=Tarifs!$A$17,Tarifs!$B$17,IF(G170&gt;=Tarifs!$A$16,Tarifs!$B$16,0))))</f>
        <v/>
      </c>
      <c r="J170" s="14" t="str">
        <f aca="false">IF(B170="","",SUMIFS(Reservations!$G:$G,Reservations!$B:$B,B170))</f>
        <v/>
      </c>
      <c r="K170" s="14" t="str">
        <f aca="false">IF(OR(B170="",G170=""),"",G170-J170)</f>
        <v/>
      </c>
      <c r="L170" s="15" t="str">
        <f aca="false">IF(K170="","",IF(K170&gt;0,"À appeler",IF(K170=0,"Réservé","Trop réservé")))</f>
        <v/>
      </c>
      <c r="M170" s="11"/>
    </row>
    <row r="171" customFormat="false" ht="15" hidden="false" customHeight="false" outlineLevel="0" collapsed="false">
      <c r="A171" s="10"/>
      <c r="B171" s="11"/>
      <c r="C171" s="11"/>
      <c r="D171" s="11"/>
      <c r="E171" s="11"/>
      <c r="F171" s="11"/>
      <c r="G171" s="12"/>
      <c r="H171" s="13" t="str">
        <f aca="false">IF(F171="","",IFERROR(INDEX(Tarifs!$B$2:$B$9,MATCH(F171,Tarifs!$A$2:$A$9,0)),""))</f>
        <v/>
      </c>
      <c r="I171" s="13" t="str">
        <f aca="false">IF(OR(G171="",H171=""),"",G171*H171*(1-IF(G171&gt;=Tarifs!$A$17,Tarifs!$B$17,IF(G171&gt;=Tarifs!$A$16,Tarifs!$B$16,0))))</f>
        <v/>
      </c>
      <c r="J171" s="14" t="str">
        <f aca="false">IF(B171="","",SUMIFS(Reservations!$G:$G,Reservations!$B:$B,B171))</f>
        <v/>
      </c>
      <c r="K171" s="14" t="str">
        <f aca="false">IF(OR(B171="",G171=""),"",G171-J171)</f>
        <v/>
      </c>
      <c r="L171" s="15" t="str">
        <f aca="false">IF(K171="","",IF(K171&gt;0,"À appeler",IF(K171=0,"Réservé","Trop réservé")))</f>
        <v/>
      </c>
      <c r="M171" s="11"/>
    </row>
    <row r="172" customFormat="false" ht="15" hidden="false" customHeight="false" outlineLevel="0" collapsed="false">
      <c r="A172" s="10"/>
      <c r="B172" s="11"/>
      <c r="C172" s="11"/>
      <c r="D172" s="11"/>
      <c r="E172" s="11"/>
      <c r="F172" s="11"/>
      <c r="G172" s="12"/>
      <c r="H172" s="13" t="str">
        <f aca="false">IF(F172="","",IFERROR(INDEX(Tarifs!$B$2:$B$9,MATCH(F172,Tarifs!$A$2:$A$9,0)),""))</f>
        <v/>
      </c>
      <c r="I172" s="13" t="str">
        <f aca="false">IF(OR(G172="",H172=""),"",G172*H172*(1-IF(G172&gt;=Tarifs!$A$17,Tarifs!$B$17,IF(G172&gt;=Tarifs!$A$16,Tarifs!$B$16,0))))</f>
        <v/>
      </c>
      <c r="J172" s="14" t="str">
        <f aca="false">IF(B172="","",SUMIFS(Reservations!$G:$G,Reservations!$B:$B,B172))</f>
        <v/>
      </c>
      <c r="K172" s="14" t="str">
        <f aca="false">IF(OR(B172="",G172=""),"",G172-J172)</f>
        <v/>
      </c>
      <c r="L172" s="15" t="str">
        <f aca="false">IF(K172="","",IF(K172&gt;0,"À appeler",IF(K172=0,"Réservé","Trop réservé")))</f>
        <v/>
      </c>
      <c r="M172" s="11"/>
    </row>
    <row r="173" customFormat="false" ht="15" hidden="false" customHeight="false" outlineLevel="0" collapsed="false">
      <c r="A173" s="10"/>
      <c r="B173" s="11"/>
      <c r="C173" s="11"/>
      <c r="D173" s="11"/>
      <c r="E173" s="11"/>
      <c r="F173" s="11"/>
      <c r="G173" s="12"/>
      <c r="H173" s="13" t="str">
        <f aca="false">IF(F173="","",IFERROR(INDEX(Tarifs!$B$2:$B$9,MATCH(F173,Tarifs!$A$2:$A$9,0)),""))</f>
        <v/>
      </c>
      <c r="I173" s="13" t="str">
        <f aca="false">IF(OR(G173="",H173=""),"",G173*H173*(1-IF(G173&gt;=Tarifs!$A$17,Tarifs!$B$17,IF(G173&gt;=Tarifs!$A$16,Tarifs!$B$16,0))))</f>
        <v/>
      </c>
      <c r="J173" s="14" t="str">
        <f aca="false">IF(B173="","",SUMIFS(Reservations!$G:$G,Reservations!$B:$B,B173))</f>
        <v/>
      </c>
      <c r="K173" s="14" t="str">
        <f aca="false">IF(OR(B173="",G173=""),"",G173-J173)</f>
        <v/>
      </c>
      <c r="L173" s="15" t="str">
        <f aca="false">IF(K173="","",IF(K173&gt;0,"À appeler",IF(K173=0,"Réservé","Trop réservé")))</f>
        <v/>
      </c>
      <c r="M173" s="11"/>
    </row>
    <row r="174" customFormat="false" ht="15" hidden="false" customHeight="false" outlineLevel="0" collapsed="false">
      <c r="A174" s="10"/>
      <c r="B174" s="11"/>
      <c r="C174" s="11"/>
      <c r="D174" s="11"/>
      <c r="E174" s="11"/>
      <c r="F174" s="11"/>
      <c r="G174" s="12"/>
      <c r="H174" s="13" t="str">
        <f aca="false">IF(F174="","",IFERROR(INDEX(Tarifs!$B$2:$B$9,MATCH(F174,Tarifs!$A$2:$A$9,0)),""))</f>
        <v/>
      </c>
      <c r="I174" s="13" t="str">
        <f aca="false">IF(OR(G174="",H174=""),"",G174*H174*(1-IF(G174&gt;=Tarifs!$A$17,Tarifs!$B$17,IF(G174&gt;=Tarifs!$A$16,Tarifs!$B$16,0))))</f>
        <v/>
      </c>
      <c r="J174" s="14" t="str">
        <f aca="false">IF(B174="","",SUMIFS(Reservations!$G:$G,Reservations!$B:$B,B174))</f>
        <v/>
      </c>
      <c r="K174" s="14" t="str">
        <f aca="false">IF(OR(B174="",G174=""),"",G174-J174)</f>
        <v/>
      </c>
      <c r="L174" s="15" t="str">
        <f aca="false">IF(K174="","",IF(K174&gt;0,"À appeler",IF(K174=0,"Réservé","Trop réservé")))</f>
        <v/>
      </c>
      <c r="M174" s="11"/>
    </row>
    <row r="175" customFormat="false" ht="15" hidden="false" customHeight="false" outlineLevel="0" collapsed="false">
      <c r="A175" s="10"/>
      <c r="B175" s="11"/>
      <c r="C175" s="11"/>
      <c r="D175" s="11"/>
      <c r="E175" s="11"/>
      <c r="F175" s="11"/>
      <c r="G175" s="12"/>
      <c r="H175" s="13" t="str">
        <f aca="false">IF(F175="","",IFERROR(INDEX(Tarifs!$B$2:$B$9,MATCH(F175,Tarifs!$A$2:$A$9,0)),""))</f>
        <v/>
      </c>
      <c r="I175" s="13" t="str">
        <f aca="false">IF(OR(G175="",H175=""),"",G175*H175*(1-IF(G175&gt;=Tarifs!$A$17,Tarifs!$B$17,IF(G175&gt;=Tarifs!$A$16,Tarifs!$B$16,0))))</f>
        <v/>
      </c>
      <c r="J175" s="14" t="str">
        <f aca="false">IF(B175="","",SUMIFS(Reservations!$G:$G,Reservations!$B:$B,B175))</f>
        <v/>
      </c>
      <c r="K175" s="14" t="str">
        <f aca="false">IF(OR(B175="",G175=""),"",G175-J175)</f>
        <v/>
      </c>
      <c r="L175" s="15" t="str">
        <f aca="false">IF(K175="","",IF(K175&gt;0,"À appeler",IF(K175=0,"Réservé","Trop réservé")))</f>
        <v/>
      </c>
      <c r="M175" s="11"/>
    </row>
    <row r="176" customFormat="false" ht="15" hidden="false" customHeight="false" outlineLevel="0" collapsed="false">
      <c r="A176" s="10"/>
      <c r="B176" s="11"/>
      <c r="C176" s="11"/>
      <c r="D176" s="11"/>
      <c r="E176" s="11"/>
      <c r="F176" s="11"/>
      <c r="G176" s="12"/>
      <c r="H176" s="13" t="str">
        <f aca="false">IF(F176="","",IFERROR(INDEX(Tarifs!$B$2:$B$9,MATCH(F176,Tarifs!$A$2:$A$9,0)),""))</f>
        <v/>
      </c>
      <c r="I176" s="13" t="str">
        <f aca="false">IF(OR(G176="",H176=""),"",G176*H176*(1-IF(G176&gt;=Tarifs!$A$17,Tarifs!$B$17,IF(G176&gt;=Tarifs!$A$16,Tarifs!$B$16,0))))</f>
        <v/>
      </c>
      <c r="J176" s="14" t="str">
        <f aca="false">IF(B176="","",SUMIFS(Reservations!$G:$G,Reservations!$B:$B,B176))</f>
        <v/>
      </c>
      <c r="K176" s="14" t="str">
        <f aca="false">IF(OR(B176="",G176=""),"",G176-J176)</f>
        <v/>
      </c>
      <c r="L176" s="15" t="str">
        <f aca="false">IF(K176="","",IF(K176&gt;0,"À appeler",IF(K176=0,"Réservé","Trop réservé")))</f>
        <v/>
      </c>
      <c r="M176" s="11"/>
    </row>
    <row r="177" customFormat="false" ht="15" hidden="false" customHeight="false" outlineLevel="0" collapsed="false">
      <c r="A177" s="10"/>
      <c r="B177" s="11"/>
      <c r="C177" s="11"/>
      <c r="D177" s="11"/>
      <c r="E177" s="11"/>
      <c r="F177" s="11"/>
      <c r="G177" s="12"/>
      <c r="H177" s="13" t="str">
        <f aca="false">IF(F177="","",IFERROR(INDEX(Tarifs!$B$2:$B$9,MATCH(F177,Tarifs!$A$2:$A$9,0)),""))</f>
        <v/>
      </c>
      <c r="I177" s="13" t="str">
        <f aca="false">IF(OR(G177="",H177=""),"",G177*H177*(1-IF(G177&gt;=Tarifs!$A$17,Tarifs!$B$17,IF(G177&gt;=Tarifs!$A$16,Tarifs!$B$16,0))))</f>
        <v/>
      </c>
      <c r="J177" s="14" t="str">
        <f aca="false">IF(B177="","",SUMIFS(Reservations!$G:$G,Reservations!$B:$B,B177))</f>
        <v/>
      </c>
      <c r="K177" s="14" t="str">
        <f aca="false">IF(OR(B177="",G177=""),"",G177-J177)</f>
        <v/>
      </c>
      <c r="L177" s="15" t="str">
        <f aca="false">IF(K177="","",IF(K177&gt;0,"À appeler",IF(K177=0,"Réservé","Trop réservé")))</f>
        <v/>
      </c>
      <c r="M177" s="11"/>
    </row>
    <row r="178" customFormat="false" ht="15" hidden="false" customHeight="false" outlineLevel="0" collapsed="false">
      <c r="A178" s="10"/>
      <c r="B178" s="11"/>
      <c r="C178" s="11"/>
      <c r="D178" s="11"/>
      <c r="E178" s="11"/>
      <c r="F178" s="11"/>
      <c r="G178" s="12"/>
      <c r="H178" s="13" t="str">
        <f aca="false">IF(F178="","",IFERROR(INDEX(Tarifs!$B$2:$B$9,MATCH(F178,Tarifs!$A$2:$A$9,0)),""))</f>
        <v/>
      </c>
      <c r="I178" s="13" t="str">
        <f aca="false">IF(OR(G178="",H178=""),"",G178*H178*(1-IF(G178&gt;=Tarifs!$A$17,Tarifs!$B$17,IF(G178&gt;=Tarifs!$A$16,Tarifs!$B$16,0))))</f>
        <v/>
      </c>
      <c r="J178" s="14" t="str">
        <f aca="false">IF(B178="","",SUMIFS(Reservations!$G:$G,Reservations!$B:$B,B178))</f>
        <v/>
      </c>
      <c r="K178" s="14" t="str">
        <f aca="false">IF(OR(B178="",G178=""),"",G178-J178)</f>
        <v/>
      </c>
      <c r="L178" s="15" t="str">
        <f aca="false">IF(K178="","",IF(K178&gt;0,"À appeler",IF(K178=0,"Réservé","Trop réservé")))</f>
        <v/>
      </c>
      <c r="M178" s="11"/>
    </row>
    <row r="179" customFormat="false" ht="15" hidden="false" customHeight="false" outlineLevel="0" collapsed="false">
      <c r="A179" s="10"/>
      <c r="B179" s="11"/>
      <c r="C179" s="11"/>
      <c r="D179" s="11"/>
      <c r="E179" s="11"/>
      <c r="F179" s="11"/>
      <c r="G179" s="12"/>
      <c r="H179" s="13" t="str">
        <f aca="false">IF(F179="","",IFERROR(INDEX(Tarifs!$B$2:$B$9,MATCH(F179,Tarifs!$A$2:$A$9,0)),""))</f>
        <v/>
      </c>
      <c r="I179" s="13" t="str">
        <f aca="false">IF(OR(G179="",H179=""),"",G179*H179*(1-IF(G179&gt;=Tarifs!$A$17,Tarifs!$B$17,IF(G179&gt;=Tarifs!$A$16,Tarifs!$B$16,0))))</f>
        <v/>
      </c>
      <c r="J179" s="14" t="str">
        <f aca="false">IF(B179="","",SUMIFS(Reservations!$G:$G,Reservations!$B:$B,B179))</f>
        <v/>
      </c>
      <c r="K179" s="14" t="str">
        <f aca="false">IF(OR(B179="",G179=""),"",G179-J179)</f>
        <v/>
      </c>
      <c r="L179" s="15" t="str">
        <f aca="false">IF(K179="","",IF(K179&gt;0,"À appeler",IF(K179=0,"Réservé","Trop réservé")))</f>
        <v/>
      </c>
      <c r="M179" s="11"/>
    </row>
    <row r="180" customFormat="false" ht="15" hidden="false" customHeight="false" outlineLevel="0" collapsed="false">
      <c r="A180" s="10"/>
      <c r="B180" s="11"/>
      <c r="C180" s="11"/>
      <c r="D180" s="11"/>
      <c r="E180" s="11"/>
      <c r="F180" s="11"/>
      <c r="G180" s="12"/>
      <c r="H180" s="13" t="str">
        <f aca="false">IF(F180="","",IFERROR(INDEX(Tarifs!$B$2:$B$9,MATCH(F180,Tarifs!$A$2:$A$9,0)),""))</f>
        <v/>
      </c>
      <c r="I180" s="13" t="str">
        <f aca="false">IF(OR(G180="",H180=""),"",G180*H180*(1-IF(G180&gt;=Tarifs!$A$17,Tarifs!$B$17,IF(G180&gt;=Tarifs!$A$16,Tarifs!$B$16,0))))</f>
        <v/>
      </c>
      <c r="J180" s="14" t="str">
        <f aca="false">IF(B180="","",SUMIFS(Reservations!$G:$G,Reservations!$B:$B,B180))</f>
        <v/>
      </c>
      <c r="K180" s="14" t="str">
        <f aca="false">IF(OR(B180="",G180=""),"",G180-J180)</f>
        <v/>
      </c>
      <c r="L180" s="15" t="str">
        <f aca="false">IF(K180="","",IF(K180&gt;0,"À appeler",IF(K180=0,"Réservé","Trop réservé")))</f>
        <v/>
      </c>
      <c r="M180" s="11"/>
    </row>
    <row r="181" customFormat="false" ht="15" hidden="false" customHeight="false" outlineLevel="0" collapsed="false">
      <c r="A181" s="10"/>
      <c r="B181" s="11"/>
      <c r="C181" s="11"/>
      <c r="D181" s="11"/>
      <c r="E181" s="11"/>
      <c r="F181" s="11"/>
      <c r="G181" s="12"/>
      <c r="H181" s="13" t="str">
        <f aca="false">IF(F181="","",IFERROR(INDEX(Tarifs!$B$2:$B$9,MATCH(F181,Tarifs!$A$2:$A$9,0)),""))</f>
        <v/>
      </c>
      <c r="I181" s="13" t="str">
        <f aca="false">IF(OR(G181="",H181=""),"",G181*H181*(1-IF(G181&gt;=Tarifs!$A$17,Tarifs!$B$17,IF(G181&gt;=Tarifs!$A$16,Tarifs!$B$16,0))))</f>
        <v/>
      </c>
      <c r="J181" s="14" t="str">
        <f aca="false">IF(B181="","",SUMIFS(Reservations!$G:$G,Reservations!$B:$B,B181))</f>
        <v/>
      </c>
      <c r="K181" s="14" t="str">
        <f aca="false">IF(OR(B181="",G181=""),"",G181-J181)</f>
        <v/>
      </c>
      <c r="L181" s="15" t="str">
        <f aca="false">IF(K181="","",IF(K181&gt;0,"À appeler",IF(K181=0,"Réservé","Trop réservé")))</f>
        <v/>
      </c>
      <c r="M181" s="11"/>
    </row>
    <row r="182" customFormat="false" ht="15" hidden="false" customHeight="false" outlineLevel="0" collapsed="false">
      <c r="A182" s="10"/>
      <c r="B182" s="11"/>
      <c r="C182" s="11"/>
      <c r="D182" s="11"/>
      <c r="E182" s="11"/>
      <c r="F182" s="11"/>
      <c r="G182" s="12"/>
      <c r="H182" s="13" t="str">
        <f aca="false">IF(F182="","",IFERROR(INDEX(Tarifs!$B$2:$B$9,MATCH(F182,Tarifs!$A$2:$A$9,0)),""))</f>
        <v/>
      </c>
      <c r="I182" s="13" t="str">
        <f aca="false">IF(OR(G182="",H182=""),"",G182*H182*(1-IF(G182&gt;=Tarifs!$A$17,Tarifs!$B$17,IF(G182&gt;=Tarifs!$A$16,Tarifs!$B$16,0))))</f>
        <v/>
      </c>
      <c r="J182" s="14" t="str">
        <f aca="false">IF(B182="","",SUMIFS(Reservations!$G:$G,Reservations!$B:$B,B182))</f>
        <v/>
      </c>
      <c r="K182" s="14" t="str">
        <f aca="false">IF(OR(B182="",G182=""),"",G182-J182)</f>
        <v/>
      </c>
      <c r="L182" s="15" t="str">
        <f aca="false">IF(K182="","",IF(K182&gt;0,"À appeler",IF(K182=0,"Réservé","Trop réservé")))</f>
        <v/>
      </c>
      <c r="M182" s="11"/>
    </row>
    <row r="183" customFormat="false" ht="15" hidden="false" customHeight="false" outlineLevel="0" collapsed="false">
      <c r="A183" s="10"/>
      <c r="B183" s="11"/>
      <c r="C183" s="11"/>
      <c r="D183" s="11"/>
      <c r="E183" s="11"/>
      <c r="F183" s="11"/>
      <c r="G183" s="12"/>
      <c r="H183" s="13" t="str">
        <f aca="false">IF(F183="","",IFERROR(INDEX(Tarifs!$B$2:$B$9,MATCH(F183,Tarifs!$A$2:$A$9,0)),""))</f>
        <v/>
      </c>
      <c r="I183" s="13" t="str">
        <f aca="false">IF(OR(G183="",H183=""),"",G183*H183*(1-IF(G183&gt;=Tarifs!$A$17,Tarifs!$B$17,IF(G183&gt;=Tarifs!$A$16,Tarifs!$B$16,0))))</f>
        <v/>
      </c>
      <c r="J183" s="14" t="str">
        <f aca="false">IF(B183="","",SUMIFS(Reservations!$G:$G,Reservations!$B:$B,B183))</f>
        <v/>
      </c>
      <c r="K183" s="14" t="str">
        <f aca="false">IF(OR(B183="",G183=""),"",G183-J183)</f>
        <v/>
      </c>
      <c r="L183" s="15" t="str">
        <f aca="false">IF(K183="","",IF(K183&gt;0,"À appeler",IF(K183=0,"Réservé","Trop réservé")))</f>
        <v/>
      </c>
      <c r="M183" s="11"/>
    </row>
    <row r="184" customFormat="false" ht="15" hidden="false" customHeight="false" outlineLevel="0" collapsed="false">
      <c r="A184" s="10"/>
      <c r="B184" s="11"/>
      <c r="C184" s="11"/>
      <c r="D184" s="11"/>
      <c r="E184" s="11"/>
      <c r="F184" s="11"/>
      <c r="G184" s="12"/>
      <c r="H184" s="13" t="str">
        <f aca="false">IF(F184="","",IFERROR(INDEX(Tarifs!$B$2:$B$9,MATCH(F184,Tarifs!$A$2:$A$9,0)),""))</f>
        <v/>
      </c>
      <c r="I184" s="13" t="str">
        <f aca="false">IF(OR(G184="",H184=""),"",G184*H184*(1-IF(G184&gt;=Tarifs!$A$17,Tarifs!$B$17,IF(G184&gt;=Tarifs!$A$16,Tarifs!$B$16,0))))</f>
        <v/>
      </c>
      <c r="J184" s="14" t="str">
        <f aca="false">IF(B184="","",SUMIFS(Reservations!$G:$G,Reservations!$B:$B,B184))</f>
        <v/>
      </c>
      <c r="K184" s="14" t="str">
        <f aca="false">IF(OR(B184="",G184=""),"",G184-J184)</f>
        <v/>
      </c>
      <c r="L184" s="15" t="str">
        <f aca="false">IF(K184="","",IF(K184&gt;0,"À appeler",IF(K184=0,"Réservé","Trop réservé")))</f>
        <v/>
      </c>
      <c r="M184" s="11"/>
    </row>
    <row r="185" customFormat="false" ht="15" hidden="false" customHeight="false" outlineLevel="0" collapsed="false">
      <c r="A185" s="10"/>
      <c r="B185" s="11"/>
      <c r="C185" s="11"/>
      <c r="D185" s="11"/>
      <c r="E185" s="11"/>
      <c r="F185" s="11"/>
      <c r="G185" s="12"/>
      <c r="H185" s="13" t="str">
        <f aca="false">IF(F185="","",IFERROR(INDEX(Tarifs!$B$2:$B$9,MATCH(F185,Tarifs!$A$2:$A$9,0)),""))</f>
        <v/>
      </c>
      <c r="I185" s="13" t="str">
        <f aca="false">IF(OR(G185="",H185=""),"",G185*H185*(1-IF(G185&gt;=Tarifs!$A$17,Tarifs!$B$17,IF(G185&gt;=Tarifs!$A$16,Tarifs!$B$16,0))))</f>
        <v/>
      </c>
      <c r="J185" s="14" t="str">
        <f aca="false">IF(B185="","",SUMIFS(Reservations!$G:$G,Reservations!$B:$B,B185))</f>
        <v/>
      </c>
      <c r="K185" s="14" t="str">
        <f aca="false">IF(OR(B185="",G185=""),"",G185-J185)</f>
        <v/>
      </c>
      <c r="L185" s="15" t="str">
        <f aca="false">IF(K185="","",IF(K185&gt;0,"À appeler",IF(K185=0,"Réservé","Trop réservé")))</f>
        <v/>
      </c>
      <c r="M185" s="11"/>
    </row>
    <row r="186" customFormat="false" ht="15" hidden="false" customHeight="false" outlineLevel="0" collapsed="false">
      <c r="A186" s="10"/>
      <c r="B186" s="11"/>
      <c r="C186" s="11"/>
      <c r="D186" s="11"/>
      <c r="E186" s="11"/>
      <c r="F186" s="11"/>
      <c r="G186" s="12"/>
      <c r="H186" s="13" t="str">
        <f aca="false">IF(F186="","",IFERROR(INDEX(Tarifs!$B$2:$B$9,MATCH(F186,Tarifs!$A$2:$A$9,0)),""))</f>
        <v/>
      </c>
      <c r="I186" s="13" t="str">
        <f aca="false">IF(OR(G186="",H186=""),"",G186*H186*(1-IF(G186&gt;=Tarifs!$A$17,Tarifs!$B$17,IF(G186&gt;=Tarifs!$A$16,Tarifs!$B$16,0))))</f>
        <v/>
      </c>
      <c r="J186" s="14" t="str">
        <f aca="false">IF(B186="","",SUMIFS(Reservations!$G:$G,Reservations!$B:$B,B186))</f>
        <v/>
      </c>
      <c r="K186" s="14" t="str">
        <f aca="false">IF(OR(B186="",G186=""),"",G186-J186)</f>
        <v/>
      </c>
      <c r="L186" s="15" t="str">
        <f aca="false">IF(K186="","",IF(K186&gt;0,"À appeler",IF(K186=0,"Réservé","Trop réservé")))</f>
        <v/>
      </c>
      <c r="M186" s="11"/>
    </row>
    <row r="187" customFormat="false" ht="15" hidden="false" customHeight="false" outlineLevel="0" collapsed="false">
      <c r="A187" s="10"/>
      <c r="B187" s="11"/>
      <c r="C187" s="11"/>
      <c r="D187" s="11"/>
      <c r="E187" s="11"/>
      <c r="F187" s="11"/>
      <c r="G187" s="12"/>
      <c r="H187" s="13" t="str">
        <f aca="false">IF(F187="","",IFERROR(INDEX(Tarifs!$B$2:$B$9,MATCH(F187,Tarifs!$A$2:$A$9,0)),""))</f>
        <v/>
      </c>
      <c r="I187" s="13" t="str">
        <f aca="false">IF(OR(G187="",H187=""),"",G187*H187*(1-IF(G187&gt;=Tarifs!$A$17,Tarifs!$B$17,IF(G187&gt;=Tarifs!$A$16,Tarifs!$B$16,0))))</f>
        <v/>
      </c>
      <c r="J187" s="14" t="str">
        <f aca="false">IF(B187="","",SUMIFS(Reservations!$G:$G,Reservations!$B:$B,B187))</f>
        <v/>
      </c>
      <c r="K187" s="14" t="str">
        <f aca="false">IF(OR(B187="",G187=""),"",G187-J187)</f>
        <v/>
      </c>
      <c r="L187" s="15" t="str">
        <f aca="false">IF(K187="","",IF(K187&gt;0,"À appeler",IF(K187=0,"Réservé","Trop réservé")))</f>
        <v/>
      </c>
      <c r="M187" s="11"/>
    </row>
    <row r="188" customFormat="false" ht="15" hidden="false" customHeight="false" outlineLevel="0" collapsed="false">
      <c r="A188" s="10"/>
      <c r="B188" s="11"/>
      <c r="C188" s="11"/>
      <c r="D188" s="11"/>
      <c r="E188" s="11"/>
      <c r="F188" s="11"/>
      <c r="G188" s="12"/>
      <c r="H188" s="13" t="str">
        <f aca="false">IF(F188="","",IFERROR(INDEX(Tarifs!$B$2:$B$9,MATCH(F188,Tarifs!$A$2:$A$9,0)),""))</f>
        <v/>
      </c>
      <c r="I188" s="13" t="str">
        <f aca="false">IF(OR(G188="",H188=""),"",G188*H188*(1-IF(G188&gt;=Tarifs!$A$17,Tarifs!$B$17,IF(G188&gt;=Tarifs!$A$16,Tarifs!$B$16,0))))</f>
        <v/>
      </c>
      <c r="J188" s="14" t="str">
        <f aca="false">IF(B188="","",SUMIFS(Reservations!$G:$G,Reservations!$B:$B,B188))</f>
        <v/>
      </c>
      <c r="K188" s="14" t="str">
        <f aca="false">IF(OR(B188="",G188=""),"",G188-J188)</f>
        <v/>
      </c>
      <c r="L188" s="15" t="str">
        <f aca="false">IF(K188="","",IF(K188&gt;0,"À appeler",IF(K188=0,"Réservé","Trop réservé")))</f>
        <v/>
      </c>
      <c r="M188" s="11"/>
    </row>
    <row r="189" customFormat="false" ht="15" hidden="false" customHeight="false" outlineLevel="0" collapsed="false">
      <c r="A189" s="10"/>
      <c r="B189" s="11"/>
      <c r="C189" s="11"/>
      <c r="D189" s="11"/>
      <c r="E189" s="11"/>
      <c r="F189" s="11"/>
      <c r="G189" s="12"/>
      <c r="H189" s="13" t="str">
        <f aca="false">IF(F189="","",IFERROR(INDEX(Tarifs!$B$2:$B$9,MATCH(F189,Tarifs!$A$2:$A$9,0)),""))</f>
        <v/>
      </c>
      <c r="I189" s="13" t="str">
        <f aca="false">IF(OR(G189="",H189=""),"",G189*H189*(1-IF(G189&gt;=Tarifs!$A$17,Tarifs!$B$17,IF(G189&gt;=Tarifs!$A$16,Tarifs!$B$16,0))))</f>
        <v/>
      </c>
      <c r="J189" s="14" t="str">
        <f aca="false">IF(B189="","",SUMIFS(Reservations!$G:$G,Reservations!$B:$B,B189))</f>
        <v/>
      </c>
      <c r="K189" s="14" t="str">
        <f aca="false">IF(OR(B189="",G189=""),"",G189-J189)</f>
        <v/>
      </c>
      <c r="L189" s="15" t="str">
        <f aca="false">IF(K189="","",IF(K189&gt;0,"À appeler",IF(K189=0,"Réservé","Trop réservé")))</f>
        <v/>
      </c>
      <c r="M189" s="11"/>
    </row>
    <row r="190" customFormat="false" ht="15" hidden="false" customHeight="false" outlineLevel="0" collapsed="false">
      <c r="A190" s="10"/>
      <c r="B190" s="11"/>
      <c r="C190" s="11"/>
      <c r="D190" s="11"/>
      <c r="E190" s="11"/>
      <c r="F190" s="11"/>
      <c r="G190" s="12"/>
      <c r="H190" s="13" t="str">
        <f aca="false">IF(F190="","",IFERROR(INDEX(Tarifs!$B$2:$B$9,MATCH(F190,Tarifs!$A$2:$A$9,0)),""))</f>
        <v/>
      </c>
      <c r="I190" s="13" t="str">
        <f aca="false">IF(OR(G190="",H190=""),"",G190*H190*(1-IF(G190&gt;=Tarifs!$A$17,Tarifs!$B$17,IF(G190&gt;=Tarifs!$A$16,Tarifs!$B$16,0))))</f>
        <v/>
      </c>
      <c r="J190" s="14" t="str">
        <f aca="false">IF(B190="","",SUMIFS(Reservations!$G:$G,Reservations!$B:$B,B190))</f>
        <v/>
      </c>
      <c r="K190" s="14" t="str">
        <f aca="false">IF(OR(B190="",G190=""),"",G190-J190)</f>
        <v/>
      </c>
      <c r="L190" s="15" t="str">
        <f aca="false">IF(K190="","",IF(K190&gt;0,"À appeler",IF(K190=0,"Réservé","Trop réservé")))</f>
        <v/>
      </c>
      <c r="M190" s="11"/>
    </row>
    <row r="191" customFormat="false" ht="15" hidden="false" customHeight="false" outlineLevel="0" collapsed="false">
      <c r="A191" s="10"/>
      <c r="B191" s="11"/>
      <c r="C191" s="11"/>
      <c r="D191" s="11"/>
      <c r="E191" s="11"/>
      <c r="F191" s="11"/>
      <c r="G191" s="12"/>
      <c r="H191" s="13" t="str">
        <f aca="false">IF(F191="","",IFERROR(INDEX(Tarifs!$B$2:$B$9,MATCH(F191,Tarifs!$A$2:$A$9,0)),""))</f>
        <v/>
      </c>
      <c r="I191" s="13" t="str">
        <f aca="false">IF(OR(G191="",H191=""),"",G191*H191*(1-IF(G191&gt;=Tarifs!$A$17,Tarifs!$B$17,IF(G191&gt;=Tarifs!$A$16,Tarifs!$B$16,0))))</f>
        <v/>
      </c>
      <c r="J191" s="14" t="str">
        <f aca="false">IF(B191="","",SUMIFS(Reservations!$G:$G,Reservations!$B:$B,B191))</f>
        <v/>
      </c>
      <c r="K191" s="14" t="str">
        <f aca="false">IF(OR(B191="",G191=""),"",G191-J191)</f>
        <v/>
      </c>
      <c r="L191" s="15" t="str">
        <f aca="false">IF(K191="","",IF(K191&gt;0,"À appeler",IF(K191=0,"Réservé","Trop réservé")))</f>
        <v/>
      </c>
      <c r="M191" s="11"/>
    </row>
    <row r="192" customFormat="false" ht="15" hidden="false" customHeight="false" outlineLevel="0" collapsed="false">
      <c r="A192" s="10"/>
      <c r="B192" s="11"/>
      <c r="C192" s="11"/>
      <c r="D192" s="11"/>
      <c r="E192" s="11"/>
      <c r="F192" s="11"/>
      <c r="G192" s="12"/>
      <c r="H192" s="13" t="str">
        <f aca="false">IF(F192="","",IFERROR(INDEX(Tarifs!$B$2:$B$9,MATCH(F192,Tarifs!$A$2:$A$9,0)),""))</f>
        <v/>
      </c>
      <c r="I192" s="13" t="str">
        <f aca="false">IF(OR(G192="",H192=""),"",G192*H192*(1-IF(G192&gt;=Tarifs!$A$17,Tarifs!$B$17,IF(G192&gt;=Tarifs!$A$16,Tarifs!$B$16,0))))</f>
        <v/>
      </c>
      <c r="J192" s="14" t="str">
        <f aca="false">IF(B192="","",SUMIFS(Reservations!$G:$G,Reservations!$B:$B,B192))</f>
        <v/>
      </c>
      <c r="K192" s="14" t="str">
        <f aca="false">IF(OR(B192="",G192=""),"",G192-J192)</f>
        <v/>
      </c>
      <c r="L192" s="15" t="str">
        <f aca="false">IF(K192="","",IF(K192&gt;0,"À appeler",IF(K192=0,"Réservé","Trop réservé")))</f>
        <v/>
      </c>
      <c r="M192" s="11"/>
    </row>
    <row r="193" customFormat="false" ht="15" hidden="false" customHeight="false" outlineLevel="0" collapsed="false">
      <c r="A193" s="10"/>
      <c r="B193" s="11"/>
      <c r="C193" s="11"/>
      <c r="D193" s="11"/>
      <c r="E193" s="11"/>
      <c r="F193" s="11"/>
      <c r="G193" s="12"/>
      <c r="H193" s="13" t="str">
        <f aca="false">IF(F193="","",IFERROR(INDEX(Tarifs!$B$2:$B$9,MATCH(F193,Tarifs!$A$2:$A$9,0)),""))</f>
        <v/>
      </c>
      <c r="I193" s="13" t="str">
        <f aca="false">IF(OR(G193="",H193=""),"",G193*H193*(1-IF(G193&gt;=Tarifs!$A$17,Tarifs!$B$17,IF(G193&gt;=Tarifs!$A$16,Tarifs!$B$16,0))))</f>
        <v/>
      </c>
      <c r="J193" s="14" t="str">
        <f aca="false">IF(B193="","",SUMIFS(Reservations!$G:$G,Reservations!$B:$B,B193))</f>
        <v/>
      </c>
      <c r="K193" s="14" t="str">
        <f aca="false">IF(OR(B193="",G193=""),"",G193-J193)</f>
        <v/>
      </c>
      <c r="L193" s="15" t="str">
        <f aca="false">IF(K193="","",IF(K193&gt;0,"À appeler",IF(K193=0,"Réservé","Trop réservé")))</f>
        <v/>
      </c>
      <c r="M193" s="11"/>
    </row>
    <row r="194" customFormat="false" ht="15" hidden="false" customHeight="false" outlineLevel="0" collapsed="false">
      <c r="A194" s="10"/>
      <c r="B194" s="11"/>
      <c r="C194" s="11"/>
      <c r="D194" s="11"/>
      <c r="E194" s="11"/>
      <c r="F194" s="11"/>
      <c r="G194" s="12"/>
      <c r="H194" s="13" t="str">
        <f aca="false">IF(F194="","",IFERROR(INDEX(Tarifs!$B$2:$B$9,MATCH(F194,Tarifs!$A$2:$A$9,0)),""))</f>
        <v/>
      </c>
      <c r="I194" s="13" t="str">
        <f aca="false">IF(OR(G194="",H194=""),"",G194*H194*(1-IF(G194&gt;=Tarifs!$A$17,Tarifs!$B$17,IF(G194&gt;=Tarifs!$A$16,Tarifs!$B$16,0))))</f>
        <v/>
      </c>
      <c r="J194" s="14" t="str">
        <f aca="false">IF(B194="","",SUMIFS(Reservations!$G:$G,Reservations!$B:$B,B194))</f>
        <v/>
      </c>
      <c r="K194" s="14" t="str">
        <f aca="false">IF(OR(B194="",G194=""),"",G194-J194)</f>
        <v/>
      </c>
      <c r="L194" s="15" t="str">
        <f aca="false">IF(K194="","",IF(K194&gt;0,"À appeler",IF(K194=0,"Réservé","Trop réservé")))</f>
        <v/>
      </c>
      <c r="M194" s="11"/>
    </row>
    <row r="195" customFormat="false" ht="15" hidden="false" customHeight="false" outlineLevel="0" collapsed="false">
      <c r="A195" s="10"/>
      <c r="B195" s="11"/>
      <c r="C195" s="11"/>
      <c r="D195" s="11"/>
      <c r="E195" s="11"/>
      <c r="F195" s="11"/>
      <c r="G195" s="12"/>
      <c r="H195" s="13" t="str">
        <f aca="false">IF(F195="","",IFERROR(INDEX(Tarifs!$B$2:$B$9,MATCH(F195,Tarifs!$A$2:$A$9,0)),""))</f>
        <v/>
      </c>
      <c r="I195" s="13" t="str">
        <f aca="false">IF(OR(G195="",H195=""),"",G195*H195*(1-IF(G195&gt;=Tarifs!$A$17,Tarifs!$B$17,IF(G195&gt;=Tarifs!$A$16,Tarifs!$B$16,0))))</f>
        <v/>
      </c>
      <c r="J195" s="14" t="str">
        <f aca="false">IF(B195="","",SUMIFS(Reservations!$G:$G,Reservations!$B:$B,B195))</f>
        <v/>
      </c>
      <c r="K195" s="14" t="str">
        <f aca="false">IF(OR(B195="",G195=""),"",G195-J195)</f>
        <v/>
      </c>
      <c r="L195" s="15" t="str">
        <f aca="false">IF(K195="","",IF(K195&gt;0,"À appeler",IF(K195=0,"Réservé","Trop réservé")))</f>
        <v/>
      </c>
      <c r="M195" s="11"/>
    </row>
    <row r="196" customFormat="false" ht="15" hidden="false" customHeight="false" outlineLevel="0" collapsed="false">
      <c r="A196" s="10"/>
      <c r="B196" s="11"/>
      <c r="C196" s="11"/>
      <c r="D196" s="11"/>
      <c r="E196" s="11"/>
      <c r="F196" s="11"/>
      <c r="G196" s="12"/>
      <c r="H196" s="13" t="str">
        <f aca="false">IF(F196="","",IFERROR(INDEX(Tarifs!$B$2:$B$9,MATCH(F196,Tarifs!$A$2:$A$9,0)),""))</f>
        <v/>
      </c>
      <c r="I196" s="13" t="str">
        <f aca="false">IF(OR(G196="",H196=""),"",G196*H196*(1-IF(G196&gt;=Tarifs!$A$17,Tarifs!$B$17,IF(G196&gt;=Tarifs!$A$16,Tarifs!$B$16,0))))</f>
        <v/>
      </c>
      <c r="J196" s="14" t="str">
        <f aca="false">IF(B196="","",SUMIFS(Reservations!$G:$G,Reservations!$B:$B,B196))</f>
        <v/>
      </c>
      <c r="K196" s="14" t="str">
        <f aca="false">IF(OR(B196="",G196=""),"",G196-J196)</f>
        <v/>
      </c>
      <c r="L196" s="15" t="str">
        <f aca="false">IF(K196="","",IF(K196&gt;0,"À appeler",IF(K196=0,"Réservé","Trop réservé")))</f>
        <v/>
      </c>
      <c r="M196" s="11"/>
    </row>
    <row r="197" customFormat="false" ht="15" hidden="false" customHeight="false" outlineLevel="0" collapsed="false">
      <c r="A197" s="10"/>
      <c r="B197" s="11"/>
      <c r="C197" s="11"/>
      <c r="D197" s="11"/>
      <c r="E197" s="11"/>
      <c r="F197" s="11"/>
      <c r="G197" s="12"/>
      <c r="H197" s="13" t="str">
        <f aca="false">IF(F197="","",IFERROR(INDEX(Tarifs!$B$2:$B$9,MATCH(F197,Tarifs!$A$2:$A$9,0)),""))</f>
        <v/>
      </c>
      <c r="I197" s="13" t="str">
        <f aca="false">IF(OR(G197="",H197=""),"",G197*H197*(1-IF(G197&gt;=Tarifs!$A$17,Tarifs!$B$17,IF(G197&gt;=Tarifs!$A$16,Tarifs!$B$16,0))))</f>
        <v/>
      </c>
      <c r="J197" s="14" t="str">
        <f aca="false">IF(B197="","",SUMIFS(Reservations!$G:$G,Reservations!$B:$B,B197))</f>
        <v/>
      </c>
      <c r="K197" s="14" t="str">
        <f aca="false">IF(OR(B197="",G197=""),"",G197-J197)</f>
        <v/>
      </c>
      <c r="L197" s="15" t="str">
        <f aca="false">IF(K197="","",IF(K197&gt;0,"À appeler",IF(K197=0,"Réservé","Trop réservé")))</f>
        <v/>
      </c>
      <c r="M197" s="11"/>
    </row>
    <row r="198" customFormat="false" ht="15" hidden="false" customHeight="false" outlineLevel="0" collapsed="false">
      <c r="A198" s="10"/>
      <c r="B198" s="11"/>
      <c r="C198" s="11"/>
      <c r="D198" s="11"/>
      <c r="E198" s="11"/>
      <c r="F198" s="11"/>
      <c r="G198" s="12"/>
      <c r="H198" s="13" t="str">
        <f aca="false">IF(F198="","",IFERROR(INDEX(Tarifs!$B$2:$B$9,MATCH(F198,Tarifs!$A$2:$A$9,0)),""))</f>
        <v/>
      </c>
      <c r="I198" s="13" t="str">
        <f aca="false">IF(OR(G198="",H198=""),"",G198*H198*(1-IF(G198&gt;=Tarifs!$A$17,Tarifs!$B$17,IF(G198&gt;=Tarifs!$A$16,Tarifs!$B$16,0))))</f>
        <v/>
      </c>
      <c r="J198" s="14" t="str">
        <f aca="false">IF(B198="","",SUMIFS(Reservations!$G:$G,Reservations!$B:$B,B198))</f>
        <v/>
      </c>
      <c r="K198" s="14" t="str">
        <f aca="false">IF(OR(B198="",G198=""),"",G198-J198)</f>
        <v/>
      </c>
      <c r="L198" s="15" t="str">
        <f aca="false">IF(K198="","",IF(K198&gt;0,"À appeler",IF(K198=0,"Réservé","Trop réservé")))</f>
        <v/>
      </c>
      <c r="M198" s="11"/>
    </row>
    <row r="199" customFormat="false" ht="15" hidden="false" customHeight="false" outlineLevel="0" collapsed="false">
      <c r="A199" s="10"/>
      <c r="B199" s="11"/>
      <c r="C199" s="11"/>
      <c r="D199" s="11"/>
      <c r="E199" s="11"/>
      <c r="F199" s="11"/>
      <c r="G199" s="12"/>
      <c r="H199" s="13" t="str">
        <f aca="false">IF(F199="","",IFERROR(INDEX(Tarifs!$B$2:$B$9,MATCH(F199,Tarifs!$A$2:$A$9,0)),""))</f>
        <v/>
      </c>
      <c r="I199" s="13" t="str">
        <f aca="false">IF(OR(G199="",H199=""),"",G199*H199*(1-IF(G199&gt;=Tarifs!$A$17,Tarifs!$B$17,IF(G199&gt;=Tarifs!$A$16,Tarifs!$B$16,0))))</f>
        <v/>
      </c>
      <c r="J199" s="14" t="str">
        <f aca="false">IF(B199="","",SUMIFS(Reservations!$G:$G,Reservations!$B:$B,B199))</f>
        <v/>
      </c>
      <c r="K199" s="14" t="str">
        <f aca="false">IF(OR(B199="",G199=""),"",G199-J199)</f>
        <v/>
      </c>
      <c r="L199" s="15" t="str">
        <f aca="false">IF(K199="","",IF(K199&gt;0,"À appeler",IF(K199=0,"Réservé","Trop réservé")))</f>
        <v/>
      </c>
      <c r="M199" s="11"/>
    </row>
    <row r="200" customFormat="false" ht="15" hidden="false" customHeight="false" outlineLevel="0" collapsed="false">
      <c r="A200" s="10"/>
      <c r="B200" s="11"/>
      <c r="C200" s="11"/>
      <c r="D200" s="11"/>
      <c r="E200" s="11"/>
      <c r="F200" s="11"/>
      <c r="G200" s="12"/>
      <c r="H200" s="13" t="str">
        <f aca="false">IF(F200="","",IFERROR(INDEX(Tarifs!$B$2:$B$9,MATCH(F200,Tarifs!$A$2:$A$9,0)),""))</f>
        <v/>
      </c>
      <c r="I200" s="13" t="str">
        <f aca="false">IF(OR(G200="",H200=""),"",G200*H200*(1-IF(G200&gt;=Tarifs!$A$17,Tarifs!$B$17,IF(G200&gt;=Tarifs!$A$16,Tarifs!$B$16,0))))</f>
        <v/>
      </c>
      <c r="J200" s="14" t="str">
        <f aca="false">IF(B200="","",SUMIFS(Reservations!$G:$G,Reservations!$B:$B,B200))</f>
        <v/>
      </c>
      <c r="K200" s="14" t="str">
        <f aca="false">IF(OR(B200="",G200=""),"",G200-J200)</f>
        <v/>
      </c>
      <c r="L200" s="15" t="str">
        <f aca="false">IF(K200="","",IF(K200&gt;0,"À appeler",IF(K200=0,"Réservé","Trop réservé")))</f>
        <v/>
      </c>
      <c r="M200" s="11"/>
    </row>
    <row r="201" customFormat="false" ht="15" hidden="false" customHeight="false" outlineLevel="0" collapsed="false">
      <c r="A201" s="10"/>
      <c r="B201" s="11"/>
      <c r="C201" s="11"/>
      <c r="D201" s="11"/>
      <c r="E201" s="11"/>
      <c r="F201" s="11"/>
      <c r="G201" s="12"/>
      <c r="H201" s="13" t="str">
        <f aca="false">IF(F201="","",IFERROR(INDEX(Tarifs!$B$2:$B$9,MATCH(F201,Tarifs!$A$2:$A$9,0)),""))</f>
        <v/>
      </c>
      <c r="I201" s="13" t="str">
        <f aca="false">IF(OR(G201="",H201=""),"",G201*H201*(1-IF(G201&gt;=Tarifs!$A$17,Tarifs!$B$17,IF(G201&gt;=Tarifs!$A$16,Tarifs!$B$16,0))))</f>
        <v/>
      </c>
      <c r="J201" s="14" t="str">
        <f aca="false">IF(B201="","",SUMIFS(Reservations!$G:$G,Reservations!$B:$B,B201))</f>
        <v/>
      </c>
      <c r="K201" s="14" t="str">
        <f aca="false">IF(OR(B201="",G201=""),"",G201-J201)</f>
        <v/>
      </c>
      <c r="L201" s="15" t="str">
        <f aca="false">IF(K201="","",IF(K201&gt;0,"À appeler",IF(K201=0,"Réservé","Trop réservé")))</f>
        <v/>
      </c>
      <c r="M201" s="11"/>
    </row>
    <row r="202" customFormat="false" ht="15" hidden="false" customHeight="false" outlineLevel="0" collapsed="false">
      <c r="A202" s="10"/>
      <c r="B202" s="11"/>
      <c r="C202" s="11"/>
      <c r="D202" s="11"/>
      <c r="E202" s="11"/>
      <c r="F202" s="11"/>
      <c r="G202" s="12"/>
      <c r="H202" s="13" t="str">
        <f aca="false">IF(F202="","",IFERROR(INDEX(Tarifs!$B$2:$B$9,MATCH(F202,Tarifs!$A$2:$A$9,0)),""))</f>
        <v/>
      </c>
      <c r="I202" s="13" t="str">
        <f aca="false">IF(OR(G202="",H202=""),"",G202*H202*(1-IF(G202&gt;=Tarifs!$A$17,Tarifs!$B$17,IF(G202&gt;=Tarifs!$A$16,Tarifs!$B$16,0))))</f>
        <v/>
      </c>
      <c r="J202" s="14" t="str">
        <f aca="false">IF(B202="","",SUMIFS(Reservations!$G:$G,Reservations!$B:$B,B202))</f>
        <v/>
      </c>
      <c r="K202" s="14" t="str">
        <f aca="false">IF(OR(B202="",G202=""),"",G202-J202)</f>
        <v/>
      </c>
      <c r="L202" s="15" t="str">
        <f aca="false">IF(K202="","",IF(K202&gt;0,"À appeler",IF(K202=0,"Réservé","Trop réservé")))</f>
        <v/>
      </c>
      <c r="M202" s="11"/>
    </row>
    <row r="203" customFormat="false" ht="15" hidden="false" customHeight="false" outlineLevel="0" collapsed="false">
      <c r="A203" s="10"/>
      <c r="B203" s="11"/>
      <c r="C203" s="11"/>
      <c r="D203" s="11"/>
      <c r="E203" s="11"/>
      <c r="F203" s="11"/>
      <c r="G203" s="12"/>
      <c r="H203" s="13" t="str">
        <f aca="false">IF(F203="","",IFERROR(INDEX(Tarifs!$B$2:$B$9,MATCH(F203,Tarifs!$A$2:$A$9,0)),""))</f>
        <v/>
      </c>
      <c r="I203" s="13" t="str">
        <f aca="false">IF(OR(G203="",H203=""),"",G203*H203*(1-IF(G203&gt;=Tarifs!$A$17,Tarifs!$B$17,IF(G203&gt;=Tarifs!$A$16,Tarifs!$B$16,0))))</f>
        <v/>
      </c>
      <c r="J203" s="14" t="str">
        <f aca="false">IF(B203="","",SUMIFS(Reservations!$G:$G,Reservations!$B:$B,B203))</f>
        <v/>
      </c>
      <c r="K203" s="14" t="str">
        <f aca="false">IF(OR(B203="",G203=""),"",G203-J203)</f>
        <v/>
      </c>
      <c r="L203" s="15" t="str">
        <f aca="false">IF(K203="","",IF(K203&gt;0,"À appeler",IF(K203=0,"Réservé","Trop réservé")))</f>
        <v/>
      </c>
      <c r="M203" s="11"/>
    </row>
    <row r="204" customFormat="false" ht="15" hidden="false" customHeight="false" outlineLevel="0" collapsed="false">
      <c r="A204" s="10"/>
      <c r="B204" s="11"/>
      <c r="C204" s="11"/>
      <c r="D204" s="11"/>
      <c r="E204" s="11"/>
      <c r="F204" s="11"/>
      <c r="G204" s="12"/>
      <c r="H204" s="13" t="str">
        <f aca="false">IF(F204="","",IFERROR(INDEX(Tarifs!$B$2:$B$9,MATCH(F204,Tarifs!$A$2:$A$9,0)),""))</f>
        <v/>
      </c>
      <c r="I204" s="13" t="str">
        <f aca="false">IF(OR(G204="",H204=""),"",G204*H204*(1-IF(G204&gt;=Tarifs!$A$17,Tarifs!$B$17,IF(G204&gt;=Tarifs!$A$16,Tarifs!$B$16,0))))</f>
        <v/>
      </c>
      <c r="J204" s="14" t="str">
        <f aca="false">IF(B204="","",SUMIFS(Reservations!$G:$G,Reservations!$B:$B,B204))</f>
        <v/>
      </c>
      <c r="K204" s="14" t="str">
        <f aca="false">IF(OR(B204="",G204=""),"",G204-J204)</f>
        <v/>
      </c>
      <c r="L204" s="15" t="str">
        <f aca="false">IF(K204="","",IF(K204&gt;0,"À appeler",IF(K204=0,"Réservé","Trop réservé")))</f>
        <v/>
      </c>
      <c r="M204" s="11"/>
    </row>
    <row r="205" customFormat="false" ht="15" hidden="false" customHeight="false" outlineLevel="0" collapsed="false">
      <c r="A205" s="10"/>
      <c r="B205" s="11"/>
      <c r="C205" s="11"/>
      <c r="D205" s="11"/>
      <c r="E205" s="11"/>
      <c r="F205" s="11"/>
      <c r="G205" s="12"/>
      <c r="H205" s="13" t="str">
        <f aca="false">IF(F205="","",IFERROR(INDEX(Tarifs!$B$2:$B$9,MATCH(F205,Tarifs!$A$2:$A$9,0)),""))</f>
        <v/>
      </c>
      <c r="I205" s="13" t="str">
        <f aca="false">IF(OR(G205="",H205=""),"",G205*H205*(1-IF(G205&gt;=Tarifs!$A$17,Tarifs!$B$17,IF(G205&gt;=Tarifs!$A$16,Tarifs!$B$16,0))))</f>
        <v/>
      </c>
      <c r="J205" s="14" t="str">
        <f aca="false">IF(B205="","",SUMIFS(Reservations!$G:$G,Reservations!$B:$B,B205))</f>
        <v/>
      </c>
      <c r="K205" s="14" t="str">
        <f aca="false">IF(OR(B205="",G205=""),"",G205-J205)</f>
        <v/>
      </c>
      <c r="L205" s="15" t="str">
        <f aca="false">IF(K205="","",IF(K205&gt;0,"À appeler",IF(K205=0,"Réservé","Trop réservé")))</f>
        <v/>
      </c>
      <c r="M205" s="11"/>
    </row>
    <row r="206" customFormat="false" ht="15" hidden="false" customHeight="false" outlineLevel="0" collapsed="false">
      <c r="A206" s="10"/>
      <c r="B206" s="11"/>
      <c r="C206" s="11"/>
      <c r="D206" s="11"/>
      <c r="E206" s="11"/>
      <c r="F206" s="11"/>
      <c r="G206" s="12"/>
      <c r="H206" s="13" t="str">
        <f aca="false">IF(F206="","",IFERROR(INDEX(Tarifs!$B$2:$B$9,MATCH(F206,Tarifs!$A$2:$A$9,0)),""))</f>
        <v/>
      </c>
      <c r="I206" s="13" t="str">
        <f aca="false">IF(OR(G206="",H206=""),"",G206*H206*(1-IF(G206&gt;=Tarifs!$A$17,Tarifs!$B$17,IF(G206&gt;=Tarifs!$A$16,Tarifs!$B$16,0))))</f>
        <v/>
      </c>
      <c r="J206" s="14" t="str">
        <f aca="false">IF(B206="","",SUMIFS(Reservations!$G:$G,Reservations!$B:$B,B206))</f>
        <v/>
      </c>
      <c r="K206" s="14" t="str">
        <f aca="false">IF(OR(B206="",G206=""),"",G206-J206)</f>
        <v/>
      </c>
      <c r="L206" s="15" t="str">
        <f aca="false">IF(K206="","",IF(K206&gt;0,"À appeler",IF(K206=0,"Réservé","Trop réservé")))</f>
        <v/>
      </c>
      <c r="M206" s="11"/>
    </row>
    <row r="207" customFormat="false" ht="15" hidden="false" customHeight="false" outlineLevel="0" collapsed="false">
      <c r="A207" s="10"/>
      <c r="B207" s="11"/>
      <c r="C207" s="11"/>
      <c r="D207" s="11"/>
      <c r="E207" s="11"/>
      <c r="F207" s="11"/>
      <c r="G207" s="12"/>
      <c r="H207" s="13" t="str">
        <f aca="false">IF(F207="","",IFERROR(INDEX(Tarifs!$B$2:$B$9,MATCH(F207,Tarifs!$A$2:$A$9,0)),""))</f>
        <v/>
      </c>
      <c r="I207" s="13" t="str">
        <f aca="false">IF(OR(G207="",H207=""),"",G207*H207*(1-IF(G207&gt;=Tarifs!$A$17,Tarifs!$B$17,IF(G207&gt;=Tarifs!$A$16,Tarifs!$B$16,0))))</f>
        <v/>
      </c>
      <c r="J207" s="14" t="str">
        <f aca="false">IF(B207="","",SUMIFS(Reservations!$G:$G,Reservations!$B:$B,B207))</f>
        <v/>
      </c>
      <c r="K207" s="14" t="str">
        <f aca="false">IF(OR(B207="",G207=""),"",G207-J207)</f>
        <v/>
      </c>
      <c r="L207" s="15" t="str">
        <f aca="false">IF(K207="","",IF(K207&gt;0,"À appeler",IF(K207=0,"Réservé","Trop réservé")))</f>
        <v/>
      </c>
      <c r="M207" s="11"/>
    </row>
    <row r="208" customFormat="false" ht="15" hidden="false" customHeight="false" outlineLevel="0" collapsed="false">
      <c r="A208" s="10"/>
      <c r="B208" s="11"/>
      <c r="C208" s="11"/>
      <c r="D208" s="11"/>
      <c r="E208" s="11"/>
      <c r="F208" s="11"/>
      <c r="G208" s="12"/>
      <c r="H208" s="13" t="str">
        <f aca="false">IF(F208="","",IFERROR(INDEX(Tarifs!$B$2:$B$9,MATCH(F208,Tarifs!$A$2:$A$9,0)),""))</f>
        <v/>
      </c>
      <c r="I208" s="13" t="str">
        <f aca="false">IF(OR(G208="",H208=""),"",G208*H208*(1-IF(G208&gt;=Tarifs!$A$17,Tarifs!$B$17,IF(G208&gt;=Tarifs!$A$16,Tarifs!$B$16,0))))</f>
        <v/>
      </c>
      <c r="J208" s="14" t="str">
        <f aca="false">IF(B208="","",SUMIFS(Reservations!$G:$G,Reservations!$B:$B,B208))</f>
        <v/>
      </c>
      <c r="K208" s="14" t="str">
        <f aca="false">IF(OR(B208="",G208=""),"",G208-J208)</f>
        <v/>
      </c>
      <c r="L208" s="15" t="str">
        <f aca="false">IF(K208="","",IF(K208&gt;0,"À appeler",IF(K208=0,"Réservé","Trop réservé")))</f>
        <v/>
      </c>
      <c r="M208" s="11"/>
    </row>
    <row r="209" customFormat="false" ht="15" hidden="false" customHeight="false" outlineLevel="0" collapsed="false">
      <c r="A209" s="10"/>
      <c r="B209" s="11"/>
      <c r="C209" s="11"/>
      <c r="D209" s="11"/>
      <c r="E209" s="11"/>
      <c r="F209" s="11"/>
      <c r="G209" s="12"/>
      <c r="H209" s="13" t="str">
        <f aca="false">IF(F209="","",IFERROR(INDEX(Tarifs!$B$2:$B$9,MATCH(F209,Tarifs!$A$2:$A$9,0)),""))</f>
        <v/>
      </c>
      <c r="I209" s="13" t="str">
        <f aca="false">IF(OR(G209="",H209=""),"",G209*H209*(1-IF(G209&gt;=Tarifs!$A$17,Tarifs!$B$17,IF(G209&gt;=Tarifs!$A$16,Tarifs!$B$16,0))))</f>
        <v/>
      </c>
      <c r="J209" s="14" t="str">
        <f aca="false">IF(B209="","",SUMIFS(Reservations!$G:$G,Reservations!$B:$B,B209))</f>
        <v/>
      </c>
      <c r="K209" s="14" t="str">
        <f aca="false">IF(OR(B209="",G209=""),"",G209-J209)</f>
        <v/>
      </c>
      <c r="L209" s="15" t="str">
        <f aca="false">IF(K209="","",IF(K209&gt;0,"À appeler",IF(K209=0,"Réservé","Trop réservé")))</f>
        <v/>
      </c>
      <c r="M209" s="11"/>
    </row>
    <row r="210" customFormat="false" ht="15" hidden="false" customHeight="false" outlineLevel="0" collapsed="false">
      <c r="A210" s="10"/>
      <c r="B210" s="11"/>
      <c r="C210" s="11"/>
      <c r="D210" s="11"/>
      <c r="E210" s="11"/>
      <c r="F210" s="11"/>
      <c r="G210" s="12"/>
      <c r="H210" s="13" t="str">
        <f aca="false">IF(F210="","",IFERROR(INDEX(Tarifs!$B$2:$B$9,MATCH(F210,Tarifs!$A$2:$A$9,0)),""))</f>
        <v/>
      </c>
      <c r="I210" s="13" t="str">
        <f aca="false">IF(OR(G210="",H210=""),"",G210*H210*(1-IF(G210&gt;=Tarifs!$A$17,Tarifs!$B$17,IF(G210&gt;=Tarifs!$A$16,Tarifs!$B$16,0))))</f>
        <v/>
      </c>
      <c r="J210" s="14" t="str">
        <f aca="false">IF(B210="","",SUMIFS(Reservations!$G:$G,Reservations!$B:$B,B210))</f>
        <v/>
      </c>
      <c r="K210" s="14" t="str">
        <f aca="false">IF(OR(B210="",G210=""),"",G210-J210)</f>
        <v/>
      </c>
      <c r="L210" s="15" t="str">
        <f aca="false">IF(K210="","",IF(K210&gt;0,"À appeler",IF(K210=0,"Réservé","Trop réservé")))</f>
        <v/>
      </c>
      <c r="M210" s="11"/>
    </row>
    <row r="211" customFormat="false" ht="15" hidden="false" customHeight="false" outlineLevel="0" collapsed="false">
      <c r="A211" s="10"/>
      <c r="B211" s="11"/>
      <c r="C211" s="11"/>
      <c r="D211" s="11"/>
      <c r="E211" s="11"/>
      <c r="F211" s="11"/>
      <c r="G211" s="12"/>
      <c r="H211" s="13" t="str">
        <f aca="false">IF(F211="","",IFERROR(INDEX(Tarifs!$B$2:$B$9,MATCH(F211,Tarifs!$A$2:$A$9,0)),""))</f>
        <v/>
      </c>
      <c r="I211" s="13" t="str">
        <f aca="false">IF(OR(G211="",H211=""),"",G211*H211*(1-IF(G211&gt;=Tarifs!$A$17,Tarifs!$B$17,IF(G211&gt;=Tarifs!$A$16,Tarifs!$B$16,0))))</f>
        <v/>
      </c>
      <c r="J211" s="14" t="str">
        <f aca="false">IF(B211="","",SUMIFS(Reservations!$G:$G,Reservations!$B:$B,B211))</f>
        <v/>
      </c>
      <c r="K211" s="14" t="str">
        <f aca="false">IF(OR(B211="",G211=""),"",G211-J211)</f>
        <v/>
      </c>
      <c r="L211" s="15" t="str">
        <f aca="false">IF(K211="","",IF(K211&gt;0,"À appeler",IF(K211=0,"Réservé","Trop réservé")))</f>
        <v/>
      </c>
      <c r="M211" s="11"/>
    </row>
    <row r="212" customFormat="false" ht="15" hidden="false" customHeight="false" outlineLevel="0" collapsed="false">
      <c r="A212" s="10"/>
      <c r="B212" s="11"/>
      <c r="C212" s="11"/>
      <c r="D212" s="11"/>
      <c r="E212" s="11"/>
      <c r="F212" s="11"/>
      <c r="G212" s="12"/>
      <c r="H212" s="13" t="str">
        <f aca="false">IF(F212="","",IFERROR(INDEX(Tarifs!$B$2:$B$9,MATCH(F212,Tarifs!$A$2:$A$9,0)),""))</f>
        <v/>
      </c>
      <c r="I212" s="13" t="str">
        <f aca="false">IF(OR(G212="",H212=""),"",G212*H212*(1-IF(G212&gt;=Tarifs!$A$17,Tarifs!$B$17,IF(G212&gt;=Tarifs!$A$16,Tarifs!$B$16,0))))</f>
        <v/>
      </c>
      <c r="J212" s="14" t="str">
        <f aca="false">IF(B212="","",SUMIFS(Reservations!$G:$G,Reservations!$B:$B,B212))</f>
        <v/>
      </c>
      <c r="K212" s="14" t="str">
        <f aca="false">IF(OR(B212="",G212=""),"",G212-J212)</f>
        <v/>
      </c>
      <c r="L212" s="15" t="str">
        <f aca="false">IF(K212="","",IF(K212&gt;0,"À appeler",IF(K212=0,"Réservé","Trop réservé")))</f>
        <v/>
      </c>
      <c r="M212" s="11"/>
    </row>
    <row r="213" customFormat="false" ht="15" hidden="false" customHeight="false" outlineLevel="0" collapsed="false">
      <c r="A213" s="10"/>
      <c r="B213" s="11"/>
      <c r="C213" s="11"/>
      <c r="D213" s="11"/>
      <c r="E213" s="11"/>
      <c r="F213" s="11"/>
      <c r="G213" s="12"/>
      <c r="H213" s="13" t="str">
        <f aca="false">IF(F213="","",IFERROR(INDEX(Tarifs!$B$2:$B$9,MATCH(F213,Tarifs!$A$2:$A$9,0)),""))</f>
        <v/>
      </c>
      <c r="I213" s="13" t="str">
        <f aca="false">IF(OR(G213="",H213=""),"",G213*H213*(1-IF(G213&gt;=Tarifs!$A$17,Tarifs!$B$17,IF(G213&gt;=Tarifs!$A$16,Tarifs!$B$16,0))))</f>
        <v/>
      </c>
      <c r="J213" s="14" t="str">
        <f aca="false">IF(B213="","",SUMIFS(Reservations!$G:$G,Reservations!$B:$B,B213))</f>
        <v/>
      </c>
      <c r="K213" s="14" t="str">
        <f aca="false">IF(OR(B213="",G213=""),"",G213-J213)</f>
        <v/>
      </c>
      <c r="L213" s="15" t="str">
        <f aca="false">IF(K213="","",IF(K213&gt;0,"À appeler",IF(K213=0,"Réservé","Trop réservé")))</f>
        <v/>
      </c>
      <c r="M213" s="11"/>
    </row>
    <row r="214" customFormat="false" ht="15" hidden="false" customHeight="false" outlineLevel="0" collapsed="false">
      <c r="A214" s="10"/>
      <c r="B214" s="11"/>
      <c r="C214" s="11"/>
      <c r="D214" s="11"/>
      <c r="E214" s="11"/>
      <c r="F214" s="11"/>
      <c r="G214" s="12"/>
      <c r="H214" s="13" t="str">
        <f aca="false">IF(F214="","",IFERROR(INDEX(Tarifs!$B$2:$B$9,MATCH(F214,Tarifs!$A$2:$A$9,0)),""))</f>
        <v/>
      </c>
      <c r="I214" s="13" t="str">
        <f aca="false">IF(OR(G214="",H214=""),"",G214*H214*(1-IF(G214&gt;=Tarifs!$A$17,Tarifs!$B$17,IF(G214&gt;=Tarifs!$A$16,Tarifs!$B$16,0))))</f>
        <v/>
      </c>
      <c r="J214" s="14" t="str">
        <f aca="false">IF(B214="","",SUMIFS(Reservations!$G:$G,Reservations!$B:$B,B214))</f>
        <v/>
      </c>
      <c r="K214" s="14" t="str">
        <f aca="false">IF(OR(B214="",G214=""),"",G214-J214)</f>
        <v/>
      </c>
      <c r="L214" s="15" t="str">
        <f aca="false">IF(K214="","",IF(K214&gt;0,"À appeler",IF(K214=0,"Réservé","Trop réservé")))</f>
        <v/>
      </c>
      <c r="M214" s="11"/>
    </row>
    <row r="215" customFormat="false" ht="15" hidden="false" customHeight="false" outlineLevel="0" collapsed="false">
      <c r="A215" s="10"/>
      <c r="B215" s="11"/>
      <c r="C215" s="11"/>
      <c r="D215" s="11"/>
      <c r="E215" s="11"/>
      <c r="F215" s="11"/>
      <c r="G215" s="12"/>
      <c r="H215" s="13" t="str">
        <f aca="false">IF(F215="","",IFERROR(INDEX(Tarifs!$B$2:$B$9,MATCH(F215,Tarifs!$A$2:$A$9,0)),""))</f>
        <v/>
      </c>
      <c r="I215" s="13" t="str">
        <f aca="false">IF(OR(G215="",H215=""),"",G215*H215*(1-IF(G215&gt;=Tarifs!$A$17,Tarifs!$B$17,IF(G215&gt;=Tarifs!$A$16,Tarifs!$B$16,0))))</f>
        <v/>
      </c>
      <c r="J215" s="14" t="str">
        <f aca="false">IF(B215="","",SUMIFS(Reservations!$G:$G,Reservations!$B:$B,B215))</f>
        <v/>
      </c>
      <c r="K215" s="14" t="str">
        <f aca="false">IF(OR(B215="",G215=""),"",G215-J215)</f>
        <v/>
      </c>
      <c r="L215" s="15" t="str">
        <f aca="false">IF(K215="","",IF(K215&gt;0,"À appeler",IF(K215=0,"Réservé","Trop réservé")))</f>
        <v/>
      </c>
      <c r="M215" s="11"/>
    </row>
    <row r="216" customFormat="false" ht="15" hidden="false" customHeight="false" outlineLevel="0" collapsed="false">
      <c r="A216" s="10"/>
      <c r="B216" s="11"/>
      <c r="C216" s="11"/>
      <c r="D216" s="11"/>
      <c r="E216" s="11"/>
      <c r="F216" s="11"/>
      <c r="G216" s="12"/>
      <c r="H216" s="13" t="str">
        <f aca="false">IF(F216="","",IFERROR(INDEX(Tarifs!$B$2:$B$9,MATCH(F216,Tarifs!$A$2:$A$9,0)),""))</f>
        <v/>
      </c>
      <c r="I216" s="13" t="str">
        <f aca="false">IF(OR(G216="",H216=""),"",G216*H216*(1-IF(G216&gt;=Tarifs!$A$17,Tarifs!$B$17,IF(G216&gt;=Tarifs!$A$16,Tarifs!$B$16,0))))</f>
        <v/>
      </c>
      <c r="J216" s="14" t="str">
        <f aca="false">IF(B216="","",SUMIFS(Reservations!$G:$G,Reservations!$B:$B,B216))</f>
        <v/>
      </c>
      <c r="K216" s="14" t="str">
        <f aca="false">IF(OR(B216="",G216=""),"",G216-J216)</f>
        <v/>
      </c>
      <c r="L216" s="15" t="str">
        <f aca="false">IF(K216="","",IF(K216&gt;0,"À appeler",IF(K216=0,"Réservé","Trop réservé")))</f>
        <v/>
      </c>
      <c r="M216" s="11"/>
    </row>
    <row r="217" customFormat="false" ht="15" hidden="false" customHeight="false" outlineLevel="0" collapsed="false">
      <c r="A217" s="10"/>
      <c r="B217" s="11"/>
      <c r="C217" s="11"/>
      <c r="D217" s="11"/>
      <c r="E217" s="11"/>
      <c r="F217" s="11"/>
      <c r="G217" s="12"/>
      <c r="H217" s="13" t="str">
        <f aca="false">IF(F217="","",IFERROR(INDEX(Tarifs!$B$2:$B$9,MATCH(F217,Tarifs!$A$2:$A$9,0)),""))</f>
        <v/>
      </c>
      <c r="I217" s="13" t="str">
        <f aca="false">IF(OR(G217="",H217=""),"",G217*H217*(1-IF(G217&gt;=Tarifs!$A$17,Tarifs!$B$17,IF(G217&gt;=Tarifs!$A$16,Tarifs!$B$16,0))))</f>
        <v/>
      </c>
      <c r="J217" s="14" t="str">
        <f aca="false">IF(B217="","",SUMIFS(Reservations!$G:$G,Reservations!$B:$B,B217))</f>
        <v/>
      </c>
      <c r="K217" s="14" t="str">
        <f aca="false">IF(OR(B217="",G217=""),"",G217-J217)</f>
        <v/>
      </c>
      <c r="L217" s="15" t="str">
        <f aca="false">IF(K217="","",IF(K217&gt;0,"À appeler",IF(K217=0,"Réservé","Trop réservé")))</f>
        <v/>
      </c>
      <c r="M217" s="11"/>
    </row>
    <row r="218" customFormat="false" ht="15" hidden="false" customHeight="false" outlineLevel="0" collapsed="false">
      <c r="A218" s="10"/>
      <c r="B218" s="11"/>
      <c r="C218" s="11"/>
      <c r="D218" s="11"/>
      <c r="E218" s="11"/>
      <c r="F218" s="11"/>
      <c r="G218" s="12"/>
      <c r="H218" s="13" t="str">
        <f aca="false">IF(F218="","",IFERROR(INDEX(Tarifs!$B$2:$B$9,MATCH(F218,Tarifs!$A$2:$A$9,0)),""))</f>
        <v/>
      </c>
      <c r="I218" s="13" t="str">
        <f aca="false">IF(OR(G218="",H218=""),"",G218*H218*(1-IF(G218&gt;=Tarifs!$A$17,Tarifs!$B$17,IF(G218&gt;=Tarifs!$A$16,Tarifs!$B$16,0))))</f>
        <v/>
      </c>
      <c r="J218" s="14" t="str">
        <f aca="false">IF(B218="","",SUMIFS(Reservations!$G:$G,Reservations!$B:$B,B218))</f>
        <v/>
      </c>
      <c r="K218" s="14" t="str">
        <f aca="false">IF(OR(B218="",G218=""),"",G218-J218)</f>
        <v/>
      </c>
      <c r="L218" s="15" t="str">
        <f aca="false">IF(K218="","",IF(K218&gt;0,"À appeler",IF(K218=0,"Réservé","Trop réservé")))</f>
        <v/>
      </c>
      <c r="M218" s="11"/>
    </row>
    <row r="219" customFormat="false" ht="15" hidden="false" customHeight="false" outlineLevel="0" collapsed="false">
      <c r="A219" s="10"/>
      <c r="B219" s="11"/>
      <c r="C219" s="11"/>
      <c r="D219" s="11"/>
      <c r="E219" s="11"/>
      <c r="F219" s="11"/>
      <c r="G219" s="12"/>
      <c r="H219" s="13" t="str">
        <f aca="false">IF(F219="","",IFERROR(INDEX(Tarifs!$B$2:$B$9,MATCH(F219,Tarifs!$A$2:$A$9,0)),""))</f>
        <v/>
      </c>
      <c r="I219" s="13" t="str">
        <f aca="false">IF(OR(G219="",H219=""),"",G219*H219*(1-IF(G219&gt;=Tarifs!$A$17,Tarifs!$B$17,IF(G219&gt;=Tarifs!$A$16,Tarifs!$B$16,0))))</f>
        <v/>
      </c>
      <c r="J219" s="14" t="str">
        <f aca="false">IF(B219="","",SUMIFS(Reservations!$G:$G,Reservations!$B:$B,B219))</f>
        <v/>
      </c>
      <c r="K219" s="14" t="str">
        <f aca="false">IF(OR(B219="",G219=""),"",G219-J219)</f>
        <v/>
      </c>
      <c r="L219" s="15" t="str">
        <f aca="false">IF(K219="","",IF(K219&gt;0,"À appeler",IF(K219=0,"Réservé","Trop réservé")))</f>
        <v/>
      </c>
      <c r="M219" s="11"/>
    </row>
    <row r="220" customFormat="false" ht="15" hidden="false" customHeight="false" outlineLevel="0" collapsed="false">
      <c r="A220" s="10"/>
      <c r="B220" s="11"/>
      <c r="C220" s="11"/>
      <c r="D220" s="11"/>
      <c r="E220" s="11"/>
      <c r="F220" s="11"/>
      <c r="G220" s="12"/>
      <c r="H220" s="13" t="str">
        <f aca="false">IF(F220="","",IFERROR(INDEX(Tarifs!$B$2:$B$9,MATCH(F220,Tarifs!$A$2:$A$9,0)),""))</f>
        <v/>
      </c>
      <c r="I220" s="13" t="str">
        <f aca="false">IF(OR(G220="",H220=""),"",G220*H220*(1-IF(G220&gt;=Tarifs!$A$17,Tarifs!$B$17,IF(G220&gt;=Tarifs!$A$16,Tarifs!$B$16,0))))</f>
        <v/>
      </c>
      <c r="J220" s="14" t="str">
        <f aca="false">IF(B220="","",SUMIFS(Reservations!$G:$G,Reservations!$B:$B,B220))</f>
        <v/>
      </c>
      <c r="K220" s="14" t="str">
        <f aca="false">IF(OR(B220="",G220=""),"",G220-J220)</f>
        <v/>
      </c>
      <c r="L220" s="15" t="str">
        <f aca="false">IF(K220="","",IF(K220&gt;0,"À appeler",IF(K220=0,"Réservé","Trop réservé")))</f>
        <v/>
      </c>
      <c r="M220" s="11"/>
    </row>
    <row r="221" customFormat="false" ht="15" hidden="false" customHeight="false" outlineLevel="0" collapsed="false">
      <c r="A221" s="10"/>
      <c r="B221" s="11"/>
      <c r="C221" s="11"/>
      <c r="D221" s="11"/>
      <c r="E221" s="11"/>
      <c r="F221" s="11"/>
      <c r="G221" s="12"/>
      <c r="H221" s="13" t="str">
        <f aca="false">IF(F221="","",IFERROR(INDEX(Tarifs!$B$2:$B$9,MATCH(F221,Tarifs!$A$2:$A$9,0)),""))</f>
        <v/>
      </c>
      <c r="I221" s="13" t="str">
        <f aca="false">IF(OR(G221="",H221=""),"",G221*H221*(1-IF(G221&gt;=Tarifs!$A$17,Tarifs!$B$17,IF(G221&gt;=Tarifs!$A$16,Tarifs!$B$16,0))))</f>
        <v/>
      </c>
      <c r="J221" s="14" t="str">
        <f aca="false">IF(B221="","",SUMIFS(Reservations!$G:$G,Reservations!$B:$B,B221))</f>
        <v/>
      </c>
      <c r="K221" s="14" t="str">
        <f aca="false">IF(OR(B221="",G221=""),"",G221-J221)</f>
        <v/>
      </c>
      <c r="L221" s="15" t="str">
        <f aca="false">IF(K221="","",IF(K221&gt;0,"À appeler",IF(K221=0,"Réservé","Trop réservé")))</f>
        <v/>
      </c>
      <c r="M221" s="11"/>
    </row>
    <row r="222" customFormat="false" ht="15" hidden="false" customHeight="false" outlineLevel="0" collapsed="false">
      <c r="A222" s="10"/>
      <c r="B222" s="11"/>
      <c r="C222" s="11"/>
      <c r="D222" s="11"/>
      <c r="E222" s="11"/>
      <c r="F222" s="11"/>
      <c r="G222" s="12"/>
      <c r="H222" s="13" t="str">
        <f aca="false">IF(F222="","",IFERROR(INDEX(Tarifs!$B$2:$B$9,MATCH(F222,Tarifs!$A$2:$A$9,0)),""))</f>
        <v/>
      </c>
      <c r="I222" s="13" t="str">
        <f aca="false">IF(OR(G222="",H222=""),"",G222*H222*(1-IF(G222&gt;=Tarifs!$A$17,Tarifs!$B$17,IF(G222&gt;=Tarifs!$A$16,Tarifs!$B$16,0))))</f>
        <v/>
      </c>
      <c r="J222" s="14" t="str">
        <f aca="false">IF(B222="","",SUMIFS(Reservations!$G:$G,Reservations!$B:$B,B222))</f>
        <v/>
      </c>
      <c r="K222" s="14" t="str">
        <f aca="false">IF(OR(B222="",G222=""),"",G222-J222)</f>
        <v/>
      </c>
      <c r="L222" s="15" t="str">
        <f aca="false">IF(K222="","",IF(K222&gt;0,"À appeler",IF(K222=0,"Réservé","Trop réservé")))</f>
        <v/>
      </c>
      <c r="M222" s="11"/>
    </row>
    <row r="223" customFormat="false" ht="15" hidden="false" customHeight="false" outlineLevel="0" collapsed="false">
      <c r="A223" s="10"/>
      <c r="B223" s="11"/>
      <c r="C223" s="11"/>
      <c r="D223" s="11"/>
      <c r="E223" s="11"/>
      <c r="F223" s="11"/>
      <c r="G223" s="12"/>
      <c r="H223" s="13" t="str">
        <f aca="false">IF(F223="","",IFERROR(INDEX(Tarifs!$B$2:$B$9,MATCH(F223,Tarifs!$A$2:$A$9,0)),""))</f>
        <v/>
      </c>
      <c r="I223" s="13" t="str">
        <f aca="false">IF(OR(G223="",H223=""),"",G223*H223*(1-IF(G223&gt;=Tarifs!$A$17,Tarifs!$B$17,IF(G223&gt;=Tarifs!$A$16,Tarifs!$B$16,0))))</f>
        <v/>
      </c>
      <c r="J223" s="14" t="str">
        <f aca="false">IF(B223="","",SUMIFS(Reservations!$G:$G,Reservations!$B:$B,B223))</f>
        <v/>
      </c>
      <c r="K223" s="14" t="str">
        <f aca="false">IF(OR(B223="",G223=""),"",G223-J223)</f>
        <v/>
      </c>
      <c r="L223" s="15" t="str">
        <f aca="false">IF(K223="","",IF(K223&gt;0,"À appeler",IF(K223=0,"Réservé","Trop réservé")))</f>
        <v/>
      </c>
      <c r="M223" s="11"/>
    </row>
    <row r="224" customFormat="false" ht="15" hidden="false" customHeight="false" outlineLevel="0" collapsed="false">
      <c r="A224" s="10"/>
      <c r="B224" s="11"/>
      <c r="C224" s="11"/>
      <c r="D224" s="11"/>
      <c r="E224" s="11"/>
      <c r="F224" s="11"/>
      <c r="G224" s="12"/>
      <c r="H224" s="13" t="str">
        <f aca="false">IF(F224="","",IFERROR(INDEX(Tarifs!$B$2:$B$9,MATCH(F224,Tarifs!$A$2:$A$9,0)),""))</f>
        <v/>
      </c>
      <c r="I224" s="13" t="str">
        <f aca="false">IF(OR(G224="",H224=""),"",G224*H224*(1-IF(G224&gt;=Tarifs!$A$17,Tarifs!$B$17,IF(G224&gt;=Tarifs!$A$16,Tarifs!$B$16,0))))</f>
        <v/>
      </c>
      <c r="J224" s="14" t="str">
        <f aca="false">IF(B224="","",SUMIFS(Reservations!$G:$G,Reservations!$B:$B,B224))</f>
        <v/>
      </c>
      <c r="K224" s="14" t="str">
        <f aca="false">IF(OR(B224="",G224=""),"",G224-J224)</f>
        <v/>
      </c>
      <c r="L224" s="15" t="str">
        <f aca="false">IF(K224="","",IF(K224&gt;0,"À appeler",IF(K224=0,"Réservé","Trop réservé")))</f>
        <v/>
      </c>
      <c r="M224" s="11"/>
    </row>
    <row r="225" customFormat="false" ht="15" hidden="false" customHeight="false" outlineLevel="0" collapsed="false">
      <c r="A225" s="10"/>
      <c r="B225" s="11"/>
      <c r="C225" s="11"/>
      <c r="D225" s="11"/>
      <c r="E225" s="11"/>
      <c r="F225" s="11"/>
      <c r="G225" s="12"/>
      <c r="H225" s="13" t="str">
        <f aca="false">IF(F225="","",IFERROR(INDEX(Tarifs!$B$2:$B$9,MATCH(F225,Tarifs!$A$2:$A$9,0)),""))</f>
        <v/>
      </c>
      <c r="I225" s="13" t="str">
        <f aca="false">IF(OR(G225="",H225=""),"",G225*H225*(1-IF(G225&gt;=Tarifs!$A$17,Tarifs!$B$17,IF(G225&gt;=Tarifs!$A$16,Tarifs!$B$16,0))))</f>
        <v/>
      </c>
      <c r="J225" s="14" t="str">
        <f aca="false">IF(B225="","",SUMIFS(Reservations!$G:$G,Reservations!$B:$B,B225))</f>
        <v/>
      </c>
      <c r="K225" s="14" t="str">
        <f aca="false">IF(OR(B225="",G225=""),"",G225-J225)</f>
        <v/>
      </c>
      <c r="L225" s="15" t="str">
        <f aca="false">IF(K225="","",IF(K225&gt;0,"À appeler",IF(K225=0,"Réservé","Trop réservé")))</f>
        <v/>
      </c>
      <c r="M225" s="11"/>
    </row>
    <row r="226" customFormat="false" ht="15" hidden="false" customHeight="false" outlineLevel="0" collapsed="false">
      <c r="A226" s="10"/>
      <c r="B226" s="11"/>
      <c r="C226" s="11"/>
      <c r="D226" s="11"/>
      <c r="E226" s="11"/>
      <c r="F226" s="11"/>
      <c r="G226" s="12"/>
      <c r="H226" s="13" t="str">
        <f aca="false">IF(F226="","",IFERROR(INDEX(Tarifs!$B$2:$B$9,MATCH(F226,Tarifs!$A$2:$A$9,0)),""))</f>
        <v/>
      </c>
      <c r="I226" s="13" t="str">
        <f aca="false">IF(OR(G226="",H226=""),"",G226*H226*(1-IF(G226&gt;=Tarifs!$A$17,Tarifs!$B$17,IF(G226&gt;=Tarifs!$A$16,Tarifs!$B$16,0))))</f>
        <v/>
      </c>
      <c r="J226" s="14" t="str">
        <f aca="false">IF(B226="","",SUMIFS(Reservations!$G:$G,Reservations!$B:$B,B226))</f>
        <v/>
      </c>
      <c r="K226" s="14" t="str">
        <f aca="false">IF(OR(B226="",G226=""),"",G226-J226)</f>
        <v/>
      </c>
      <c r="L226" s="15" t="str">
        <f aca="false">IF(K226="","",IF(K226&gt;0,"À appeler",IF(K226=0,"Réservé","Trop réservé")))</f>
        <v/>
      </c>
      <c r="M226" s="11"/>
    </row>
    <row r="227" customFormat="false" ht="15" hidden="false" customHeight="false" outlineLevel="0" collapsed="false">
      <c r="A227" s="10"/>
      <c r="B227" s="11"/>
      <c r="C227" s="11"/>
      <c r="D227" s="11"/>
      <c r="E227" s="11"/>
      <c r="F227" s="11"/>
      <c r="G227" s="12"/>
      <c r="H227" s="13" t="str">
        <f aca="false">IF(F227="","",IFERROR(INDEX(Tarifs!$B$2:$B$9,MATCH(F227,Tarifs!$A$2:$A$9,0)),""))</f>
        <v/>
      </c>
      <c r="I227" s="13" t="str">
        <f aca="false">IF(OR(G227="",H227=""),"",G227*H227*(1-IF(G227&gt;=Tarifs!$A$17,Tarifs!$B$17,IF(G227&gt;=Tarifs!$A$16,Tarifs!$B$16,0))))</f>
        <v/>
      </c>
      <c r="J227" s="14" t="str">
        <f aca="false">IF(B227="","",SUMIFS(Reservations!$G:$G,Reservations!$B:$B,B227))</f>
        <v/>
      </c>
      <c r="K227" s="14" t="str">
        <f aca="false">IF(OR(B227="",G227=""),"",G227-J227)</f>
        <v/>
      </c>
      <c r="L227" s="15" t="str">
        <f aca="false">IF(K227="","",IF(K227&gt;0,"À appeler",IF(K227=0,"Réservé","Trop réservé")))</f>
        <v/>
      </c>
      <c r="M227" s="11"/>
    </row>
    <row r="228" customFormat="false" ht="15" hidden="false" customHeight="false" outlineLevel="0" collapsed="false">
      <c r="A228" s="10"/>
      <c r="B228" s="11"/>
      <c r="C228" s="11"/>
      <c r="D228" s="11"/>
      <c r="E228" s="11"/>
      <c r="F228" s="11"/>
      <c r="G228" s="12"/>
      <c r="H228" s="13" t="str">
        <f aca="false">IF(F228="","",IFERROR(INDEX(Tarifs!$B$2:$B$9,MATCH(F228,Tarifs!$A$2:$A$9,0)),""))</f>
        <v/>
      </c>
      <c r="I228" s="13" t="str">
        <f aca="false">IF(OR(G228="",H228=""),"",G228*H228*(1-IF(G228&gt;=Tarifs!$A$17,Tarifs!$B$17,IF(G228&gt;=Tarifs!$A$16,Tarifs!$B$16,0))))</f>
        <v/>
      </c>
      <c r="J228" s="14" t="str">
        <f aca="false">IF(B228="","",SUMIFS(Reservations!$G:$G,Reservations!$B:$B,B228))</f>
        <v/>
      </c>
      <c r="K228" s="14" t="str">
        <f aca="false">IF(OR(B228="",G228=""),"",G228-J228)</f>
        <v/>
      </c>
      <c r="L228" s="15" t="str">
        <f aca="false">IF(K228="","",IF(K228&gt;0,"À appeler",IF(K228=0,"Réservé","Trop réservé")))</f>
        <v/>
      </c>
      <c r="M228" s="11"/>
    </row>
    <row r="229" customFormat="false" ht="15" hidden="false" customHeight="false" outlineLevel="0" collapsed="false">
      <c r="A229" s="10"/>
      <c r="B229" s="11"/>
      <c r="C229" s="11"/>
      <c r="D229" s="11"/>
      <c r="E229" s="11"/>
      <c r="F229" s="11"/>
      <c r="G229" s="12"/>
      <c r="H229" s="13" t="str">
        <f aca="false">IF(F229="","",IFERROR(INDEX(Tarifs!$B$2:$B$9,MATCH(F229,Tarifs!$A$2:$A$9,0)),""))</f>
        <v/>
      </c>
      <c r="I229" s="13" t="str">
        <f aca="false">IF(OR(G229="",H229=""),"",G229*H229*(1-IF(G229&gt;=Tarifs!$A$17,Tarifs!$B$17,IF(G229&gt;=Tarifs!$A$16,Tarifs!$B$16,0))))</f>
        <v/>
      </c>
      <c r="J229" s="14" t="str">
        <f aca="false">IF(B229="","",SUMIFS(Reservations!$G:$G,Reservations!$B:$B,B229))</f>
        <v/>
      </c>
      <c r="K229" s="14" t="str">
        <f aca="false">IF(OR(B229="",G229=""),"",G229-J229)</f>
        <v/>
      </c>
      <c r="L229" s="15" t="str">
        <f aca="false">IF(K229="","",IF(K229&gt;0,"À appeler",IF(K229=0,"Réservé","Trop réservé")))</f>
        <v/>
      </c>
      <c r="M229" s="11"/>
    </row>
    <row r="230" customFormat="false" ht="15" hidden="false" customHeight="false" outlineLevel="0" collapsed="false">
      <c r="A230" s="10"/>
      <c r="B230" s="11"/>
      <c r="C230" s="11"/>
      <c r="D230" s="11"/>
      <c r="E230" s="11"/>
      <c r="F230" s="11"/>
      <c r="G230" s="12"/>
      <c r="H230" s="13" t="str">
        <f aca="false">IF(F230="","",IFERROR(INDEX(Tarifs!$B$2:$B$9,MATCH(F230,Tarifs!$A$2:$A$9,0)),""))</f>
        <v/>
      </c>
      <c r="I230" s="13" t="str">
        <f aca="false">IF(OR(G230="",H230=""),"",G230*H230*(1-IF(G230&gt;=Tarifs!$A$17,Tarifs!$B$17,IF(G230&gt;=Tarifs!$A$16,Tarifs!$B$16,0))))</f>
        <v/>
      </c>
      <c r="J230" s="14" t="str">
        <f aca="false">IF(B230="","",SUMIFS(Reservations!$G:$G,Reservations!$B:$B,B230))</f>
        <v/>
      </c>
      <c r="K230" s="14" t="str">
        <f aca="false">IF(OR(B230="",G230=""),"",G230-J230)</f>
        <v/>
      </c>
      <c r="L230" s="15" t="str">
        <f aca="false">IF(K230="","",IF(K230&gt;0,"À appeler",IF(K230=0,"Réservé","Trop réservé")))</f>
        <v/>
      </c>
      <c r="M230" s="11"/>
    </row>
    <row r="231" customFormat="false" ht="15" hidden="false" customHeight="false" outlineLevel="0" collapsed="false">
      <c r="A231" s="10"/>
      <c r="B231" s="11"/>
      <c r="C231" s="11"/>
      <c r="D231" s="11"/>
      <c r="E231" s="11"/>
      <c r="F231" s="11"/>
      <c r="G231" s="12"/>
      <c r="H231" s="13" t="str">
        <f aca="false">IF(F231="","",IFERROR(INDEX(Tarifs!$B$2:$B$9,MATCH(F231,Tarifs!$A$2:$A$9,0)),""))</f>
        <v/>
      </c>
      <c r="I231" s="13" t="str">
        <f aca="false">IF(OR(G231="",H231=""),"",G231*H231*(1-IF(G231&gt;=Tarifs!$A$17,Tarifs!$B$17,IF(G231&gt;=Tarifs!$A$16,Tarifs!$B$16,0))))</f>
        <v/>
      </c>
      <c r="J231" s="14" t="str">
        <f aca="false">IF(B231="","",SUMIFS(Reservations!$G:$G,Reservations!$B:$B,B231))</f>
        <v/>
      </c>
      <c r="K231" s="14" t="str">
        <f aca="false">IF(OR(B231="",G231=""),"",G231-J231)</f>
        <v/>
      </c>
      <c r="L231" s="15" t="str">
        <f aca="false">IF(K231="","",IF(K231&gt;0,"À appeler",IF(K231=0,"Réservé","Trop réservé")))</f>
        <v/>
      </c>
      <c r="M231" s="11"/>
    </row>
    <row r="232" customFormat="false" ht="15" hidden="false" customHeight="false" outlineLevel="0" collapsed="false">
      <c r="A232" s="10"/>
      <c r="B232" s="11"/>
      <c r="C232" s="11"/>
      <c r="D232" s="11"/>
      <c r="E232" s="11"/>
      <c r="F232" s="11"/>
      <c r="G232" s="12"/>
      <c r="H232" s="13" t="str">
        <f aca="false">IF(F232="","",IFERROR(INDEX(Tarifs!$B$2:$B$9,MATCH(F232,Tarifs!$A$2:$A$9,0)),""))</f>
        <v/>
      </c>
      <c r="I232" s="13" t="str">
        <f aca="false">IF(OR(G232="",H232=""),"",G232*H232*(1-IF(G232&gt;=Tarifs!$A$17,Tarifs!$B$17,IF(G232&gt;=Tarifs!$A$16,Tarifs!$B$16,0))))</f>
        <v/>
      </c>
      <c r="J232" s="14" t="str">
        <f aca="false">IF(B232="","",SUMIFS(Reservations!$G:$G,Reservations!$B:$B,B232))</f>
        <v/>
      </c>
      <c r="K232" s="14" t="str">
        <f aca="false">IF(OR(B232="",G232=""),"",G232-J232)</f>
        <v/>
      </c>
      <c r="L232" s="15" t="str">
        <f aca="false">IF(K232="","",IF(K232&gt;0,"À appeler",IF(K232=0,"Réservé","Trop réservé")))</f>
        <v/>
      </c>
      <c r="M232" s="11"/>
    </row>
    <row r="233" customFormat="false" ht="15" hidden="false" customHeight="false" outlineLevel="0" collapsed="false">
      <c r="A233" s="10"/>
      <c r="B233" s="11"/>
      <c r="C233" s="11"/>
      <c r="D233" s="11"/>
      <c r="E233" s="11"/>
      <c r="F233" s="11"/>
      <c r="G233" s="12"/>
      <c r="H233" s="13" t="str">
        <f aca="false">IF(F233="","",IFERROR(INDEX(Tarifs!$B$2:$B$9,MATCH(F233,Tarifs!$A$2:$A$9,0)),""))</f>
        <v/>
      </c>
      <c r="I233" s="13" t="str">
        <f aca="false">IF(OR(G233="",H233=""),"",G233*H233*(1-IF(G233&gt;=Tarifs!$A$17,Tarifs!$B$17,IF(G233&gt;=Tarifs!$A$16,Tarifs!$B$16,0))))</f>
        <v/>
      </c>
      <c r="J233" s="14" t="str">
        <f aca="false">IF(B233="","",SUMIFS(Reservations!$G:$G,Reservations!$B:$B,B233))</f>
        <v/>
      </c>
      <c r="K233" s="14" t="str">
        <f aca="false">IF(OR(B233="",G233=""),"",G233-J233)</f>
        <v/>
      </c>
      <c r="L233" s="15" t="str">
        <f aca="false">IF(K233="","",IF(K233&gt;0,"À appeler",IF(K233=0,"Réservé","Trop réservé")))</f>
        <v/>
      </c>
      <c r="M233" s="11"/>
    </row>
    <row r="234" customFormat="false" ht="15" hidden="false" customHeight="false" outlineLevel="0" collapsed="false">
      <c r="A234" s="10"/>
      <c r="B234" s="11"/>
      <c r="C234" s="11"/>
      <c r="D234" s="11"/>
      <c r="E234" s="11"/>
      <c r="F234" s="11"/>
      <c r="G234" s="12"/>
      <c r="H234" s="13" t="str">
        <f aca="false">IF(F234="","",IFERROR(INDEX(Tarifs!$B$2:$B$9,MATCH(F234,Tarifs!$A$2:$A$9,0)),""))</f>
        <v/>
      </c>
      <c r="I234" s="13" t="str">
        <f aca="false">IF(OR(G234="",H234=""),"",G234*H234*(1-IF(G234&gt;=Tarifs!$A$17,Tarifs!$B$17,IF(G234&gt;=Tarifs!$A$16,Tarifs!$B$16,0))))</f>
        <v/>
      </c>
      <c r="J234" s="14" t="str">
        <f aca="false">IF(B234="","",SUMIFS(Reservations!$G:$G,Reservations!$B:$B,B234))</f>
        <v/>
      </c>
      <c r="K234" s="14" t="str">
        <f aca="false">IF(OR(B234="",G234=""),"",G234-J234)</f>
        <v/>
      </c>
      <c r="L234" s="15" t="str">
        <f aca="false">IF(K234="","",IF(K234&gt;0,"À appeler",IF(K234=0,"Réservé","Trop réservé")))</f>
        <v/>
      </c>
      <c r="M234" s="11"/>
    </row>
    <row r="235" customFormat="false" ht="15" hidden="false" customHeight="false" outlineLevel="0" collapsed="false">
      <c r="A235" s="10"/>
      <c r="B235" s="11"/>
      <c r="C235" s="11"/>
      <c r="D235" s="11"/>
      <c r="E235" s="11"/>
      <c r="F235" s="11"/>
      <c r="G235" s="12"/>
      <c r="H235" s="13" t="str">
        <f aca="false">IF(F235="","",IFERROR(INDEX(Tarifs!$B$2:$B$9,MATCH(F235,Tarifs!$A$2:$A$9,0)),""))</f>
        <v/>
      </c>
      <c r="I235" s="13" t="str">
        <f aca="false">IF(OR(G235="",H235=""),"",G235*H235*(1-IF(G235&gt;=Tarifs!$A$17,Tarifs!$B$17,IF(G235&gt;=Tarifs!$A$16,Tarifs!$B$16,0))))</f>
        <v/>
      </c>
      <c r="J235" s="14" t="str">
        <f aca="false">IF(B235="","",SUMIFS(Reservations!$G:$G,Reservations!$B:$B,B235))</f>
        <v/>
      </c>
      <c r="K235" s="14" t="str">
        <f aca="false">IF(OR(B235="",G235=""),"",G235-J235)</f>
        <v/>
      </c>
      <c r="L235" s="15" t="str">
        <f aca="false">IF(K235="","",IF(K235&gt;0,"À appeler",IF(K235=0,"Réservé","Trop réservé")))</f>
        <v/>
      </c>
      <c r="M235" s="11"/>
    </row>
    <row r="236" customFormat="false" ht="15" hidden="false" customHeight="false" outlineLevel="0" collapsed="false">
      <c r="A236" s="10"/>
      <c r="B236" s="11"/>
      <c r="C236" s="11"/>
      <c r="D236" s="11"/>
      <c r="E236" s="11"/>
      <c r="F236" s="11"/>
      <c r="G236" s="12"/>
      <c r="H236" s="13" t="str">
        <f aca="false">IF(F236="","",IFERROR(INDEX(Tarifs!$B$2:$B$9,MATCH(F236,Tarifs!$A$2:$A$9,0)),""))</f>
        <v/>
      </c>
      <c r="I236" s="13" t="str">
        <f aca="false">IF(OR(G236="",H236=""),"",G236*H236*(1-IF(G236&gt;=Tarifs!$A$17,Tarifs!$B$17,IF(G236&gt;=Tarifs!$A$16,Tarifs!$B$16,0))))</f>
        <v/>
      </c>
      <c r="J236" s="14" t="str">
        <f aca="false">IF(B236="","",SUMIFS(Reservations!$G:$G,Reservations!$B:$B,B236))</f>
        <v/>
      </c>
      <c r="K236" s="14" t="str">
        <f aca="false">IF(OR(B236="",G236=""),"",G236-J236)</f>
        <v/>
      </c>
      <c r="L236" s="15" t="str">
        <f aca="false">IF(K236="","",IF(K236&gt;0,"À appeler",IF(K236=0,"Réservé","Trop réservé")))</f>
        <v/>
      </c>
      <c r="M236" s="11"/>
    </row>
    <row r="237" customFormat="false" ht="15" hidden="false" customHeight="false" outlineLevel="0" collapsed="false">
      <c r="A237" s="10"/>
      <c r="B237" s="11"/>
      <c r="C237" s="11"/>
      <c r="D237" s="11"/>
      <c r="E237" s="11"/>
      <c r="F237" s="11"/>
      <c r="G237" s="12"/>
      <c r="H237" s="13" t="str">
        <f aca="false">IF(F237="","",IFERROR(INDEX(Tarifs!$B$2:$B$9,MATCH(F237,Tarifs!$A$2:$A$9,0)),""))</f>
        <v/>
      </c>
      <c r="I237" s="13" t="str">
        <f aca="false">IF(OR(G237="",H237=""),"",G237*H237*(1-IF(G237&gt;=Tarifs!$A$17,Tarifs!$B$17,IF(G237&gt;=Tarifs!$A$16,Tarifs!$B$16,0))))</f>
        <v/>
      </c>
      <c r="J237" s="14" t="str">
        <f aca="false">IF(B237="","",SUMIFS(Reservations!$G:$G,Reservations!$B:$B,B237))</f>
        <v/>
      </c>
      <c r="K237" s="14" t="str">
        <f aca="false">IF(OR(B237="",G237=""),"",G237-J237)</f>
        <v/>
      </c>
      <c r="L237" s="15" t="str">
        <f aca="false">IF(K237="","",IF(K237&gt;0,"À appeler",IF(K237=0,"Réservé","Trop réservé")))</f>
        <v/>
      </c>
      <c r="M237" s="11"/>
    </row>
    <row r="238" customFormat="false" ht="15" hidden="false" customHeight="false" outlineLevel="0" collapsed="false">
      <c r="A238" s="10"/>
      <c r="B238" s="11"/>
      <c r="C238" s="11"/>
      <c r="D238" s="11"/>
      <c r="E238" s="11"/>
      <c r="F238" s="11"/>
      <c r="G238" s="12"/>
      <c r="H238" s="13" t="str">
        <f aca="false">IF(F238="","",IFERROR(INDEX(Tarifs!$B$2:$B$9,MATCH(F238,Tarifs!$A$2:$A$9,0)),""))</f>
        <v/>
      </c>
      <c r="I238" s="13" t="str">
        <f aca="false">IF(OR(G238="",H238=""),"",G238*H238*(1-IF(G238&gt;=Tarifs!$A$17,Tarifs!$B$17,IF(G238&gt;=Tarifs!$A$16,Tarifs!$B$16,0))))</f>
        <v/>
      </c>
      <c r="J238" s="14" t="str">
        <f aca="false">IF(B238="","",SUMIFS(Reservations!$G:$G,Reservations!$B:$B,B238))</f>
        <v/>
      </c>
      <c r="K238" s="14" t="str">
        <f aca="false">IF(OR(B238="",G238=""),"",G238-J238)</f>
        <v/>
      </c>
      <c r="L238" s="15" t="str">
        <f aca="false">IF(K238="","",IF(K238&gt;0,"À appeler",IF(K238=0,"Réservé","Trop réservé")))</f>
        <v/>
      </c>
      <c r="M238" s="11"/>
    </row>
    <row r="239" customFormat="false" ht="15" hidden="false" customHeight="false" outlineLevel="0" collapsed="false">
      <c r="A239" s="10"/>
      <c r="B239" s="11"/>
      <c r="C239" s="11"/>
      <c r="D239" s="11"/>
      <c r="E239" s="11"/>
      <c r="F239" s="11"/>
      <c r="G239" s="12"/>
      <c r="H239" s="13" t="str">
        <f aca="false">IF(F239="","",IFERROR(INDEX(Tarifs!$B$2:$B$9,MATCH(F239,Tarifs!$A$2:$A$9,0)),""))</f>
        <v/>
      </c>
      <c r="I239" s="13" t="str">
        <f aca="false">IF(OR(G239="",H239=""),"",G239*H239*(1-IF(G239&gt;=Tarifs!$A$17,Tarifs!$B$17,IF(G239&gt;=Tarifs!$A$16,Tarifs!$B$16,0))))</f>
        <v/>
      </c>
      <c r="J239" s="14" t="str">
        <f aca="false">IF(B239="","",SUMIFS(Reservations!$G:$G,Reservations!$B:$B,B239))</f>
        <v/>
      </c>
      <c r="K239" s="14" t="str">
        <f aca="false">IF(OR(B239="",G239=""),"",G239-J239)</f>
        <v/>
      </c>
      <c r="L239" s="15" t="str">
        <f aca="false">IF(K239="","",IF(K239&gt;0,"À appeler",IF(K239=0,"Réservé","Trop réservé")))</f>
        <v/>
      </c>
      <c r="M239" s="11"/>
    </row>
    <row r="240" customFormat="false" ht="15" hidden="false" customHeight="false" outlineLevel="0" collapsed="false">
      <c r="A240" s="10"/>
      <c r="B240" s="11"/>
      <c r="C240" s="11"/>
      <c r="D240" s="11"/>
      <c r="E240" s="11"/>
      <c r="F240" s="11"/>
      <c r="G240" s="12"/>
      <c r="H240" s="13" t="str">
        <f aca="false">IF(F240="","",IFERROR(INDEX(Tarifs!$B$2:$B$9,MATCH(F240,Tarifs!$A$2:$A$9,0)),""))</f>
        <v/>
      </c>
      <c r="I240" s="13" t="str">
        <f aca="false">IF(OR(G240="",H240=""),"",G240*H240*(1-IF(G240&gt;=Tarifs!$A$17,Tarifs!$B$17,IF(G240&gt;=Tarifs!$A$16,Tarifs!$B$16,0))))</f>
        <v/>
      </c>
      <c r="J240" s="14" t="str">
        <f aca="false">IF(B240="","",SUMIFS(Reservations!$G:$G,Reservations!$B:$B,B240))</f>
        <v/>
      </c>
      <c r="K240" s="14" t="str">
        <f aca="false">IF(OR(B240="",G240=""),"",G240-J240)</f>
        <v/>
      </c>
      <c r="L240" s="15" t="str">
        <f aca="false">IF(K240="","",IF(K240&gt;0,"À appeler",IF(K240=0,"Réservé","Trop réservé")))</f>
        <v/>
      </c>
      <c r="M240" s="11"/>
    </row>
    <row r="241" customFormat="false" ht="15" hidden="false" customHeight="false" outlineLevel="0" collapsed="false">
      <c r="A241" s="10"/>
      <c r="B241" s="11"/>
      <c r="C241" s="11"/>
      <c r="D241" s="11"/>
      <c r="E241" s="11"/>
      <c r="F241" s="11"/>
      <c r="G241" s="12"/>
      <c r="H241" s="13" t="str">
        <f aca="false">IF(F241="","",IFERROR(INDEX(Tarifs!$B$2:$B$9,MATCH(F241,Tarifs!$A$2:$A$9,0)),""))</f>
        <v/>
      </c>
      <c r="I241" s="13" t="str">
        <f aca="false">IF(OR(G241="",H241=""),"",G241*H241*(1-IF(G241&gt;=Tarifs!$A$17,Tarifs!$B$17,IF(G241&gt;=Tarifs!$A$16,Tarifs!$B$16,0))))</f>
        <v/>
      </c>
      <c r="J241" s="14" t="str">
        <f aca="false">IF(B241="","",SUMIFS(Reservations!$G:$G,Reservations!$B:$B,B241))</f>
        <v/>
      </c>
      <c r="K241" s="14" t="str">
        <f aca="false">IF(OR(B241="",G241=""),"",G241-J241)</f>
        <v/>
      </c>
      <c r="L241" s="15" t="str">
        <f aca="false">IF(K241="","",IF(K241&gt;0,"À appeler",IF(K241=0,"Réservé","Trop réservé")))</f>
        <v/>
      </c>
      <c r="M241" s="11"/>
    </row>
    <row r="242" customFormat="false" ht="15" hidden="false" customHeight="false" outlineLevel="0" collapsed="false">
      <c r="A242" s="10"/>
      <c r="B242" s="11"/>
      <c r="C242" s="11"/>
      <c r="D242" s="11"/>
      <c r="E242" s="11"/>
      <c r="F242" s="11"/>
      <c r="G242" s="12"/>
      <c r="H242" s="13" t="str">
        <f aca="false">IF(F242="","",IFERROR(INDEX(Tarifs!$B$2:$B$9,MATCH(F242,Tarifs!$A$2:$A$9,0)),""))</f>
        <v/>
      </c>
      <c r="I242" s="13" t="str">
        <f aca="false">IF(OR(G242="",H242=""),"",G242*H242*(1-IF(G242&gt;=Tarifs!$A$17,Tarifs!$B$17,IF(G242&gt;=Tarifs!$A$16,Tarifs!$B$16,0))))</f>
        <v/>
      </c>
      <c r="J242" s="14" t="str">
        <f aca="false">IF(B242="","",SUMIFS(Reservations!$G:$G,Reservations!$B:$B,B242))</f>
        <v/>
      </c>
      <c r="K242" s="14" t="str">
        <f aca="false">IF(OR(B242="",G242=""),"",G242-J242)</f>
        <v/>
      </c>
      <c r="L242" s="15" t="str">
        <f aca="false">IF(K242="","",IF(K242&gt;0,"À appeler",IF(K242=0,"Réservé","Trop réservé")))</f>
        <v/>
      </c>
      <c r="M242" s="11"/>
    </row>
    <row r="243" customFormat="false" ht="15" hidden="false" customHeight="false" outlineLevel="0" collapsed="false">
      <c r="A243" s="10"/>
      <c r="B243" s="11"/>
      <c r="C243" s="11"/>
      <c r="D243" s="11"/>
      <c r="E243" s="11"/>
      <c r="F243" s="11"/>
      <c r="G243" s="12"/>
      <c r="H243" s="13" t="str">
        <f aca="false">IF(F243="","",IFERROR(INDEX(Tarifs!$B$2:$B$9,MATCH(F243,Tarifs!$A$2:$A$9,0)),""))</f>
        <v/>
      </c>
      <c r="I243" s="13" t="str">
        <f aca="false">IF(OR(G243="",H243=""),"",G243*H243*(1-IF(G243&gt;=Tarifs!$A$17,Tarifs!$B$17,IF(G243&gt;=Tarifs!$A$16,Tarifs!$B$16,0))))</f>
        <v/>
      </c>
      <c r="J243" s="14" t="str">
        <f aca="false">IF(B243="","",SUMIFS(Reservations!$G:$G,Reservations!$B:$B,B243))</f>
        <v/>
      </c>
      <c r="K243" s="14" t="str">
        <f aca="false">IF(OR(B243="",G243=""),"",G243-J243)</f>
        <v/>
      </c>
      <c r="L243" s="15" t="str">
        <f aca="false">IF(K243="","",IF(K243&gt;0,"À appeler",IF(K243=0,"Réservé","Trop réservé")))</f>
        <v/>
      </c>
      <c r="M243" s="11"/>
    </row>
    <row r="244" customFormat="false" ht="15" hidden="false" customHeight="false" outlineLevel="0" collapsed="false">
      <c r="A244" s="10"/>
      <c r="B244" s="11"/>
      <c r="C244" s="11"/>
      <c r="D244" s="11"/>
      <c r="E244" s="11"/>
      <c r="F244" s="11"/>
      <c r="G244" s="12"/>
      <c r="H244" s="13" t="str">
        <f aca="false">IF(F244="","",IFERROR(INDEX(Tarifs!$B$2:$B$9,MATCH(F244,Tarifs!$A$2:$A$9,0)),""))</f>
        <v/>
      </c>
      <c r="I244" s="13" t="str">
        <f aca="false">IF(OR(G244="",H244=""),"",G244*H244*(1-IF(G244&gt;=Tarifs!$A$17,Tarifs!$B$17,IF(G244&gt;=Tarifs!$A$16,Tarifs!$B$16,0))))</f>
        <v/>
      </c>
      <c r="J244" s="14" t="str">
        <f aca="false">IF(B244="","",SUMIFS(Reservations!$G:$G,Reservations!$B:$B,B244))</f>
        <v/>
      </c>
      <c r="K244" s="14" t="str">
        <f aca="false">IF(OR(B244="",G244=""),"",G244-J244)</f>
        <v/>
      </c>
      <c r="L244" s="15" t="str">
        <f aca="false">IF(K244="","",IF(K244&gt;0,"À appeler",IF(K244=0,"Réservé","Trop réservé")))</f>
        <v/>
      </c>
      <c r="M244" s="11"/>
    </row>
    <row r="245" customFormat="false" ht="15" hidden="false" customHeight="false" outlineLevel="0" collapsed="false">
      <c r="A245" s="10"/>
      <c r="B245" s="11"/>
      <c r="C245" s="11"/>
      <c r="D245" s="11"/>
      <c r="E245" s="11"/>
      <c r="F245" s="11"/>
      <c r="G245" s="12"/>
      <c r="H245" s="13" t="str">
        <f aca="false">IF(F245="","",IFERROR(INDEX(Tarifs!$B$2:$B$9,MATCH(F245,Tarifs!$A$2:$A$9,0)),""))</f>
        <v/>
      </c>
      <c r="I245" s="13" t="str">
        <f aca="false">IF(OR(G245="",H245=""),"",G245*H245*(1-IF(G245&gt;=Tarifs!$A$17,Tarifs!$B$17,IF(G245&gt;=Tarifs!$A$16,Tarifs!$B$16,0))))</f>
        <v/>
      </c>
      <c r="J245" s="14" t="str">
        <f aca="false">IF(B245="","",SUMIFS(Reservations!$G:$G,Reservations!$B:$B,B245))</f>
        <v/>
      </c>
      <c r="K245" s="14" t="str">
        <f aca="false">IF(OR(B245="",G245=""),"",G245-J245)</f>
        <v/>
      </c>
      <c r="L245" s="15" t="str">
        <f aca="false">IF(K245="","",IF(K245&gt;0,"À appeler",IF(K245=0,"Réservé","Trop réservé")))</f>
        <v/>
      </c>
      <c r="M245" s="11"/>
    </row>
    <row r="246" customFormat="false" ht="15" hidden="false" customHeight="false" outlineLevel="0" collapsed="false">
      <c r="A246" s="10"/>
      <c r="B246" s="11"/>
      <c r="C246" s="11"/>
      <c r="D246" s="11"/>
      <c r="E246" s="11"/>
      <c r="F246" s="11"/>
      <c r="G246" s="12"/>
      <c r="H246" s="13" t="str">
        <f aca="false">IF(F246="","",IFERROR(INDEX(Tarifs!$B$2:$B$9,MATCH(F246,Tarifs!$A$2:$A$9,0)),""))</f>
        <v/>
      </c>
      <c r="I246" s="13" t="str">
        <f aca="false">IF(OR(G246="",H246=""),"",G246*H246*(1-IF(G246&gt;=Tarifs!$A$17,Tarifs!$B$17,IF(G246&gt;=Tarifs!$A$16,Tarifs!$B$16,0))))</f>
        <v/>
      </c>
      <c r="J246" s="14" t="str">
        <f aca="false">IF(B246="","",SUMIFS(Reservations!$G:$G,Reservations!$B:$B,B246))</f>
        <v/>
      </c>
      <c r="K246" s="14" t="str">
        <f aca="false">IF(OR(B246="",G246=""),"",G246-J246)</f>
        <v/>
      </c>
      <c r="L246" s="15" t="str">
        <f aca="false">IF(K246="","",IF(K246&gt;0,"À appeler",IF(K246=0,"Réservé","Trop réservé")))</f>
        <v/>
      </c>
      <c r="M246" s="11"/>
    </row>
    <row r="247" customFormat="false" ht="15" hidden="false" customHeight="false" outlineLevel="0" collapsed="false">
      <c r="A247" s="10"/>
      <c r="B247" s="11"/>
      <c r="C247" s="11"/>
      <c r="D247" s="11"/>
      <c r="E247" s="11"/>
      <c r="F247" s="11"/>
      <c r="G247" s="12"/>
      <c r="H247" s="13" t="str">
        <f aca="false">IF(F247="","",IFERROR(INDEX(Tarifs!$B$2:$B$9,MATCH(F247,Tarifs!$A$2:$A$9,0)),""))</f>
        <v/>
      </c>
      <c r="I247" s="13" t="str">
        <f aca="false">IF(OR(G247="",H247=""),"",G247*H247*(1-IF(G247&gt;=Tarifs!$A$17,Tarifs!$B$17,IF(G247&gt;=Tarifs!$A$16,Tarifs!$B$16,0))))</f>
        <v/>
      </c>
      <c r="J247" s="14" t="str">
        <f aca="false">IF(B247="","",SUMIFS(Reservations!$G:$G,Reservations!$B:$B,B247))</f>
        <v/>
      </c>
      <c r="K247" s="14" t="str">
        <f aca="false">IF(OR(B247="",G247=""),"",G247-J247)</f>
        <v/>
      </c>
      <c r="L247" s="15" t="str">
        <f aca="false">IF(K247="","",IF(K247&gt;0,"À appeler",IF(K247=0,"Réservé","Trop réservé")))</f>
        <v/>
      </c>
      <c r="M247" s="11"/>
    </row>
    <row r="248" customFormat="false" ht="15" hidden="false" customHeight="false" outlineLevel="0" collapsed="false">
      <c r="A248" s="10"/>
      <c r="B248" s="11"/>
      <c r="C248" s="11"/>
      <c r="D248" s="11"/>
      <c r="E248" s="11"/>
      <c r="F248" s="11"/>
      <c r="G248" s="12"/>
      <c r="H248" s="13" t="str">
        <f aca="false">IF(F248="","",IFERROR(INDEX(Tarifs!$B$2:$B$9,MATCH(F248,Tarifs!$A$2:$A$9,0)),""))</f>
        <v/>
      </c>
      <c r="I248" s="13" t="str">
        <f aca="false">IF(OR(G248="",H248=""),"",G248*H248*(1-IF(G248&gt;=Tarifs!$A$17,Tarifs!$B$17,IF(G248&gt;=Tarifs!$A$16,Tarifs!$B$16,0))))</f>
        <v/>
      </c>
      <c r="J248" s="14" t="str">
        <f aca="false">IF(B248="","",SUMIFS(Reservations!$G:$G,Reservations!$B:$B,B248))</f>
        <v/>
      </c>
      <c r="K248" s="14" t="str">
        <f aca="false">IF(OR(B248="",G248=""),"",G248-J248)</f>
        <v/>
      </c>
      <c r="L248" s="15" t="str">
        <f aca="false">IF(K248="","",IF(K248&gt;0,"À appeler",IF(K248=0,"Réservé","Trop réservé")))</f>
        <v/>
      </c>
      <c r="M248" s="11"/>
    </row>
    <row r="249" customFormat="false" ht="15" hidden="false" customHeight="false" outlineLevel="0" collapsed="false">
      <c r="A249" s="10"/>
      <c r="B249" s="11"/>
      <c r="C249" s="11"/>
      <c r="D249" s="11"/>
      <c r="E249" s="11"/>
      <c r="F249" s="11"/>
      <c r="G249" s="12"/>
      <c r="H249" s="13" t="str">
        <f aca="false">IF(F249="","",IFERROR(INDEX(Tarifs!$B$2:$B$9,MATCH(F249,Tarifs!$A$2:$A$9,0)),""))</f>
        <v/>
      </c>
      <c r="I249" s="13" t="str">
        <f aca="false">IF(OR(G249="",H249=""),"",G249*H249*(1-IF(G249&gt;=Tarifs!$A$17,Tarifs!$B$17,IF(G249&gt;=Tarifs!$A$16,Tarifs!$B$16,0))))</f>
        <v/>
      </c>
      <c r="J249" s="14" t="str">
        <f aca="false">IF(B249="","",SUMIFS(Reservations!$G:$G,Reservations!$B:$B,B249))</f>
        <v/>
      </c>
      <c r="K249" s="14" t="str">
        <f aca="false">IF(OR(B249="",G249=""),"",G249-J249)</f>
        <v/>
      </c>
      <c r="L249" s="15" t="str">
        <f aca="false">IF(K249="","",IF(K249&gt;0,"À appeler",IF(K249=0,"Réservé","Trop réservé")))</f>
        <v/>
      </c>
      <c r="M249" s="11"/>
    </row>
    <row r="250" customFormat="false" ht="15" hidden="false" customHeight="false" outlineLevel="0" collapsed="false">
      <c r="A250" s="10"/>
      <c r="B250" s="11"/>
      <c r="C250" s="11"/>
      <c r="D250" s="11"/>
      <c r="E250" s="11"/>
      <c r="F250" s="11"/>
      <c r="G250" s="12"/>
      <c r="H250" s="13" t="str">
        <f aca="false">IF(F250="","",IFERROR(INDEX(Tarifs!$B$2:$B$9,MATCH(F250,Tarifs!$A$2:$A$9,0)),""))</f>
        <v/>
      </c>
      <c r="I250" s="13" t="str">
        <f aca="false">IF(OR(G250="",H250=""),"",G250*H250*(1-IF(G250&gt;=Tarifs!$A$17,Tarifs!$B$17,IF(G250&gt;=Tarifs!$A$16,Tarifs!$B$16,0))))</f>
        <v/>
      </c>
      <c r="J250" s="14" t="str">
        <f aca="false">IF(B250="","",SUMIFS(Reservations!$G:$G,Reservations!$B:$B,B250))</f>
        <v/>
      </c>
      <c r="K250" s="14" t="str">
        <f aca="false">IF(OR(B250="",G250=""),"",G250-J250)</f>
        <v/>
      </c>
      <c r="L250" s="15" t="str">
        <f aca="false">IF(K250="","",IF(K250&gt;0,"À appeler",IF(K250=0,"Réservé","Trop réservé")))</f>
        <v/>
      </c>
      <c r="M250" s="11"/>
    </row>
    <row r="251" customFormat="false" ht="15" hidden="false" customHeight="false" outlineLevel="0" collapsed="false">
      <c r="A251" s="10"/>
      <c r="B251" s="11"/>
      <c r="C251" s="11"/>
      <c r="D251" s="11"/>
      <c r="E251" s="11"/>
      <c r="F251" s="11"/>
      <c r="G251" s="12"/>
      <c r="H251" s="13" t="str">
        <f aca="false">IF(F251="","",IFERROR(INDEX(Tarifs!$B$2:$B$9,MATCH(F251,Tarifs!$A$2:$A$9,0)),""))</f>
        <v/>
      </c>
      <c r="I251" s="13" t="str">
        <f aca="false">IF(OR(G251="",H251=""),"",G251*H251*(1-IF(G251&gt;=Tarifs!$A$17,Tarifs!$B$17,IF(G251&gt;=Tarifs!$A$16,Tarifs!$B$16,0))))</f>
        <v/>
      </c>
      <c r="J251" s="14" t="str">
        <f aca="false">IF(B251="","",SUMIFS(Reservations!$G:$G,Reservations!$B:$B,B251))</f>
        <v/>
      </c>
      <c r="K251" s="14" t="str">
        <f aca="false">IF(OR(B251="",G251=""),"",G251-J251)</f>
        <v/>
      </c>
      <c r="L251" s="15" t="str">
        <f aca="false">IF(K251="","",IF(K251&gt;0,"À appeler",IF(K251=0,"Réservé","Trop réservé")))</f>
        <v/>
      </c>
      <c r="M251" s="11"/>
    </row>
    <row r="252" customFormat="false" ht="15" hidden="false" customHeight="false" outlineLevel="0" collapsed="false">
      <c r="A252" s="10"/>
      <c r="B252" s="11"/>
      <c r="C252" s="11"/>
      <c r="D252" s="11"/>
      <c r="E252" s="11"/>
      <c r="F252" s="11"/>
      <c r="G252" s="12"/>
      <c r="H252" s="13" t="str">
        <f aca="false">IF(F252="","",IFERROR(INDEX(Tarifs!$B$2:$B$9,MATCH(F252,Tarifs!$A$2:$A$9,0)),""))</f>
        <v/>
      </c>
      <c r="I252" s="13" t="str">
        <f aca="false">IF(OR(G252="",H252=""),"",G252*H252*(1-IF(G252&gt;=Tarifs!$A$17,Tarifs!$B$17,IF(G252&gt;=Tarifs!$A$16,Tarifs!$B$16,0))))</f>
        <v/>
      </c>
      <c r="J252" s="14" t="str">
        <f aca="false">IF(B252="","",SUMIFS(Reservations!$G:$G,Reservations!$B:$B,B252))</f>
        <v/>
      </c>
      <c r="K252" s="14" t="str">
        <f aca="false">IF(OR(B252="",G252=""),"",G252-J252)</f>
        <v/>
      </c>
      <c r="L252" s="15" t="str">
        <f aca="false">IF(K252="","",IF(K252&gt;0,"À appeler",IF(K252=0,"Réservé","Trop réservé")))</f>
        <v/>
      </c>
      <c r="M252" s="11"/>
    </row>
    <row r="253" customFormat="false" ht="15" hidden="false" customHeight="false" outlineLevel="0" collapsed="false">
      <c r="A253" s="10"/>
      <c r="B253" s="11"/>
      <c r="C253" s="11"/>
      <c r="D253" s="11"/>
      <c r="E253" s="11"/>
      <c r="F253" s="11"/>
      <c r="G253" s="12"/>
      <c r="H253" s="13" t="str">
        <f aca="false">IF(F253="","",IFERROR(INDEX(Tarifs!$B$2:$B$9,MATCH(F253,Tarifs!$A$2:$A$9,0)),""))</f>
        <v/>
      </c>
      <c r="I253" s="13" t="str">
        <f aca="false">IF(OR(G253="",H253=""),"",G253*H253*(1-IF(G253&gt;=Tarifs!$A$17,Tarifs!$B$17,IF(G253&gt;=Tarifs!$A$16,Tarifs!$B$16,0))))</f>
        <v/>
      </c>
      <c r="J253" s="14" t="str">
        <f aca="false">IF(B253="","",SUMIFS(Reservations!$G:$G,Reservations!$B:$B,B253))</f>
        <v/>
      </c>
      <c r="K253" s="14" t="str">
        <f aca="false">IF(OR(B253="",G253=""),"",G253-J253)</f>
        <v/>
      </c>
      <c r="L253" s="15" t="str">
        <f aca="false">IF(K253="","",IF(K253&gt;0,"À appeler",IF(K253=0,"Réservé","Trop réservé")))</f>
        <v/>
      </c>
      <c r="M253" s="11"/>
    </row>
    <row r="254" customFormat="false" ht="15" hidden="false" customHeight="false" outlineLevel="0" collapsed="false">
      <c r="A254" s="10"/>
      <c r="B254" s="11"/>
      <c r="C254" s="11"/>
      <c r="D254" s="11"/>
      <c r="E254" s="11"/>
      <c r="F254" s="11"/>
      <c r="G254" s="12"/>
      <c r="H254" s="13" t="str">
        <f aca="false">IF(F254="","",IFERROR(INDEX(Tarifs!$B$2:$B$9,MATCH(F254,Tarifs!$A$2:$A$9,0)),""))</f>
        <v/>
      </c>
      <c r="I254" s="13" t="str">
        <f aca="false">IF(OR(G254="",H254=""),"",G254*H254*(1-IF(G254&gt;=Tarifs!$A$17,Tarifs!$B$17,IF(G254&gt;=Tarifs!$A$16,Tarifs!$B$16,0))))</f>
        <v/>
      </c>
      <c r="J254" s="14" t="str">
        <f aca="false">IF(B254="","",SUMIFS(Reservations!$G:$G,Reservations!$B:$B,B254))</f>
        <v/>
      </c>
      <c r="K254" s="14" t="str">
        <f aca="false">IF(OR(B254="",G254=""),"",G254-J254)</f>
        <v/>
      </c>
      <c r="L254" s="15" t="str">
        <f aca="false">IF(K254="","",IF(K254&gt;0,"À appeler",IF(K254=0,"Réservé","Trop réservé")))</f>
        <v/>
      </c>
      <c r="M254" s="11"/>
    </row>
    <row r="255" customFormat="false" ht="15" hidden="false" customHeight="false" outlineLevel="0" collapsed="false">
      <c r="A255" s="10"/>
      <c r="B255" s="11"/>
      <c r="C255" s="11"/>
      <c r="D255" s="11"/>
      <c r="E255" s="11"/>
      <c r="F255" s="11"/>
      <c r="G255" s="12"/>
      <c r="H255" s="13" t="str">
        <f aca="false">IF(F255="","",IFERROR(INDEX(Tarifs!$B$2:$B$9,MATCH(F255,Tarifs!$A$2:$A$9,0)),""))</f>
        <v/>
      </c>
      <c r="I255" s="13" t="str">
        <f aca="false">IF(OR(G255="",H255=""),"",G255*H255*(1-IF(G255&gt;=Tarifs!$A$17,Tarifs!$B$17,IF(G255&gt;=Tarifs!$A$16,Tarifs!$B$16,0))))</f>
        <v/>
      </c>
      <c r="J255" s="14" t="str">
        <f aca="false">IF(B255="","",SUMIFS(Reservations!$G:$G,Reservations!$B:$B,B255))</f>
        <v/>
      </c>
      <c r="K255" s="14" t="str">
        <f aca="false">IF(OR(B255="",G255=""),"",G255-J255)</f>
        <v/>
      </c>
      <c r="L255" s="15" t="str">
        <f aca="false">IF(K255="","",IF(K255&gt;0,"À appeler",IF(K255=0,"Réservé","Trop réservé")))</f>
        <v/>
      </c>
      <c r="M255" s="11"/>
    </row>
    <row r="256" customFormat="false" ht="15" hidden="false" customHeight="false" outlineLevel="0" collapsed="false">
      <c r="A256" s="10"/>
      <c r="B256" s="11"/>
      <c r="C256" s="11"/>
      <c r="D256" s="11"/>
      <c r="E256" s="11"/>
      <c r="F256" s="11"/>
      <c r="G256" s="12"/>
      <c r="H256" s="13" t="str">
        <f aca="false">IF(F256="","",IFERROR(INDEX(Tarifs!$B$2:$B$9,MATCH(F256,Tarifs!$A$2:$A$9,0)),""))</f>
        <v/>
      </c>
      <c r="I256" s="13" t="str">
        <f aca="false">IF(OR(G256="",H256=""),"",G256*H256*(1-IF(G256&gt;=Tarifs!$A$17,Tarifs!$B$17,IF(G256&gt;=Tarifs!$A$16,Tarifs!$B$16,0))))</f>
        <v/>
      </c>
      <c r="J256" s="14" t="str">
        <f aca="false">IF(B256="","",SUMIFS(Reservations!$G:$G,Reservations!$B:$B,B256))</f>
        <v/>
      </c>
      <c r="K256" s="14" t="str">
        <f aca="false">IF(OR(B256="",G256=""),"",G256-J256)</f>
        <v/>
      </c>
      <c r="L256" s="15" t="str">
        <f aca="false">IF(K256="","",IF(K256&gt;0,"À appeler",IF(K256=0,"Réservé","Trop réservé")))</f>
        <v/>
      </c>
      <c r="M256" s="11"/>
    </row>
    <row r="257" customFormat="false" ht="15" hidden="false" customHeight="false" outlineLevel="0" collapsed="false">
      <c r="A257" s="10"/>
      <c r="B257" s="11"/>
      <c r="C257" s="11"/>
      <c r="D257" s="11"/>
      <c r="E257" s="11"/>
      <c r="F257" s="11"/>
      <c r="G257" s="12"/>
      <c r="H257" s="13" t="str">
        <f aca="false">IF(F257="","",IFERROR(INDEX(Tarifs!$B$2:$B$9,MATCH(F257,Tarifs!$A$2:$A$9,0)),""))</f>
        <v/>
      </c>
      <c r="I257" s="13" t="str">
        <f aca="false">IF(OR(G257="",H257=""),"",G257*H257*(1-IF(G257&gt;=Tarifs!$A$17,Tarifs!$B$17,IF(G257&gt;=Tarifs!$A$16,Tarifs!$B$16,0))))</f>
        <v/>
      </c>
      <c r="J257" s="14" t="str">
        <f aca="false">IF(B257="","",SUMIFS(Reservations!$G:$G,Reservations!$B:$B,B257))</f>
        <v/>
      </c>
      <c r="K257" s="14" t="str">
        <f aca="false">IF(OR(B257="",G257=""),"",G257-J257)</f>
        <v/>
      </c>
      <c r="L257" s="15" t="str">
        <f aca="false">IF(K257="","",IF(K257&gt;0,"À appeler",IF(K257=0,"Réservé","Trop réservé")))</f>
        <v/>
      </c>
      <c r="M257" s="11"/>
    </row>
    <row r="258" customFormat="false" ht="15" hidden="false" customHeight="false" outlineLevel="0" collapsed="false">
      <c r="A258" s="10"/>
      <c r="B258" s="11"/>
      <c r="C258" s="11"/>
      <c r="D258" s="11"/>
      <c r="E258" s="11"/>
      <c r="F258" s="11"/>
      <c r="G258" s="12"/>
      <c r="H258" s="13" t="str">
        <f aca="false">IF(F258="","",IFERROR(INDEX(Tarifs!$B$2:$B$9,MATCH(F258,Tarifs!$A$2:$A$9,0)),""))</f>
        <v/>
      </c>
      <c r="I258" s="13" t="str">
        <f aca="false">IF(OR(G258="",H258=""),"",G258*H258*(1-IF(G258&gt;=Tarifs!$A$17,Tarifs!$B$17,IF(G258&gt;=Tarifs!$A$16,Tarifs!$B$16,0))))</f>
        <v/>
      </c>
      <c r="J258" s="14" t="str">
        <f aca="false">IF(B258="","",SUMIFS(Reservations!$G:$G,Reservations!$B:$B,B258))</f>
        <v/>
      </c>
      <c r="K258" s="14" t="str">
        <f aca="false">IF(OR(B258="",G258=""),"",G258-J258)</f>
        <v/>
      </c>
      <c r="L258" s="15" t="str">
        <f aca="false">IF(K258="","",IF(K258&gt;0,"À appeler",IF(K258=0,"Réservé","Trop réservé")))</f>
        <v/>
      </c>
      <c r="M258" s="11"/>
    </row>
    <row r="259" customFormat="false" ht="15" hidden="false" customHeight="false" outlineLevel="0" collapsed="false">
      <c r="A259" s="10"/>
      <c r="B259" s="11"/>
      <c r="C259" s="11"/>
      <c r="D259" s="11"/>
      <c r="E259" s="11"/>
      <c r="F259" s="11"/>
      <c r="G259" s="12"/>
      <c r="H259" s="13" t="str">
        <f aca="false">IF(F259="","",IFERROR(INDEX(Tarifs!$B$2:$B$9,MATCH(F259,Tarifs!$A$2:$A$9,0)),""))</f>
        <v/>
      </c>
      <c r="I259" s="13" t="str">
        <f aca="false">IF(OR(G259="",H259=""),"",G259*H259*(1-IF(G259&gt;=Tarifs!$A$17,Tarifs!$B$17,IF(G259&gt;=Tarifs!$A$16,Tarifs!$B$16,0))))</f>
        <v/>
      </c>
      <c r="J259" s="14" t="str">
        <f aca="false">IF(B259="","",SUMIFS(Reservations!$G:$G,Reservations!$B:$B,B259))</f>
        <v/>
      </c>
      <c r="K259" s="14" t="str">
        <f aca="false">IF(OR(B259="",G259=""),"",G259-J259)</f>
        <v/>
      </c>
      <c r="L259" s="15" t="str">
        <f aca="false">IF(K259="","",IF(K259&gt;0,"À appeler",IF(K259=0,"Réservé","Trop réservé")))</f>
        <v/>
      </c>
      <c r="M259" s="11"/>
    </row>
    <row r="260" customFormat="false" ht="15" hidden="false" customHeight="false" outlineLevel="0" collapsed="false">
      <c r="A260" s="10"/>
      <c r="B260" s="11"/>
      <c r="C260" s="11"/>
      <c r="D260" s="11"/>
      <c r="E260" s="11"/>
      <c r="F260" s="11"/>
      <c r="G260" s="12"/>
      <c r="H260" s="13" t="str">
        <f aca="false">IF(F260="","",IFERROR(INDEX(Tarifs!$B$2:$B$9,MATCH(F260,Tarifs!$A$2:$A$9,0)),""))</f>
        <v/>
      </c>
      <c r="I260" s="13" t="str">
        <f aca="false">IF(OR(G260="",H260=""),"",G260*H260*(1-IF(G260&gt;=Tarifs!$A$17,Tarifs!$B$17,IF(G260&gt;=Tarifs!$A$16,Tarifs!$B$16,0))))</f>
        <v/>
      </c>
      <c r="J260" s="14" t="str">
        <f aca="false">IF(B260="","",SUMIFS(Reservations!$G:$G,Reservations!$B:$B,B260))</f>
        <v/>
      </c>
      <c r="K260" s="14" t="str">
        <f aca="false">IF(OR(B260="",G260=""),"",G260-J260)</f>
        <v/>
      </c>
      <c r="L260" s="15" t="str">
        <f aca="false">IF(K260="","",IF(K260&gt;0,"À appeler",IF(K260=0,"Réservé","Trop réservé")))</f>
        <v/>
      </c>
      <c r="M260" s="11"/>
    </row>
    <row r="261" customFormat="false" ht="15" hidden="false" customHeight="false" outlineLevel="0" collapsed="false">
      <c r="A261" s="10"/>
      <c r="B261" s="11"/>
      <c r="C261" s="11"/>
      <c r="D261" s="11"/>
      <c r="E261" s="11"/>
      <c r="F261" s="11"/>
      <c r="G261" s="12"/>
      <c r="H261" s="13" t="str">
        <f aca="false">IF(F261="","",IFERROR(INDEX(Tarifs!$B$2:$B$9,MATCH(F261,Tarifs!$A$2:$A$9,0)),""))</f>
        <v/>
      </c>
      <c r="I261" s="13" t="str">
        <f aca="false">IF(OR(G261="",H261=""),"",G261*H261*(1-IF(G261&gt;=Tarifs!$A$17,Tarifs!$B$17,IF(G261&gt;=Tarifs!$A$16,Tarifs!$B$16,0))))</f>
        <v/>
      </c>
      <c r="J261" s="14" t="str">
        <f aca="false">IF(B261="","",SUMIFS(Reservations!$G:$G,Reservations!$B:$B,B261))</f>
        <v/>
      </c>
      <c r="K261" s="14" t="str">
        <f aca="false">IF(OR(B261="",G261=""),"",G261-J261)</f>
        <v/>
      </c>
      <c r="L261" s="15" t="str">
        <f aca="false">IF(K261="","",IF(K261&gt;0,"À appeler",IF(K261=0,"Réservé","Trop réservé")))</f>
        <v/>
      </c>
      <c r="M261" s="11"/>
    </row>
    <row r="262" customFormat="false" ht="15" hidden="false" customHeight="false" outlineLevel="0" collapsed="false">
      <c r="A262" s="10"/>
      <c r="B262" s="11"/>
      <c r="C262" s="11"/>
      <c r="D262" s="11"/>
      <c r="E262" s="11"/>
      <c r="F262" s="11"/>
      <c r="G262" s="12"/>
      <c r="H262" s="13" t="str">
        <f aca="false">IF(F262="","",IFERROR(INDEX(Tarifs!$B$2:$B$9,MATCH(F262,Tarifs!$A$2:$A$9,0)),""))</f>
        <v/>
      </c>
      <c r="I262" s="13" t="str">
        <f aca="false">IF(OR(G262="",H262=""),"",G262*H262*(1-IF(G262&gt;=Tarifs!$A$17,Tarifs!$B$17,IF(G262&gt;=Tarifs!$A$16,Tarifs!$B$16,0))))</f>
        <v/>
      </c>
      <c r="J262" s="14" t="str">
        <f aca="false">IF(B262="","",SUMIFS(Reservations!$G:$G,Reservations!$B:$B,B262))</f>
        <v/>
      </c>
      <c r="K262" s="14" t="str">
        <f aca="false">IF(OR(B262="",G262=""),"",G262-J262)</f>
        <v/>
      </c>
      <c r="L262" s="15" t="str">
        <f aca="false">IF(K262="","",IF(K262&gt;0,"À appeler",IF(K262=0,"Réservé","Trop réservé")))</f>
        <v/>
      </c>
      <c r="M262" s="11"/>
    </row>
    <row r="263" customFormat="false" ht="15" hidden="false" customHeight="false" outlineLevel="0" collapsed="false">
      <c r="A263" s="10"/>
      <c r="B263" s="11"/>
      <c r="C263" s="11"/>
      <c r="D263" s="11"/>
      <c r="E263" s="11"/>
      <c r="F263" s="11"/>
      <c r="G263" s="12"/>
      <c r="H263" s="13" t="str">
        <f aca="false">IF(F263="","",IFERROR(INDEX(Tarifs!$B$2:$B$9,MATCH(F263,Tarifs!$A$2:$A$9,0)),""))</f>
        <v/>
      </c>
      <c r="I263" s="13" t="str">
        <f aca="false">IF(OR(G263="",H263=""),"",G263*H263*(1-IF(G263&gt;=Tarifs!$A$17,Tarifs!$B$17,IF(G263&gt;=Tarifs!$A$16,Tarifs!$B$16,0))))</f>
        <v/>
      </c>
      <c r="J263" s="14" t="str">
        <f aca="false">IF(B263="","",SUMIFS(Reservations!$G:$G,Reservations!$B:$B,B263))</f>
        <v/>
      </c>
      <c r="K263" s="14" t="str">
        <f aca="false">IF(OR(B263="",G263=""),"",G263-J263)</f>
        <v/>
      </c>
      <c r="L263" s="15" t="str">
        <f aca="false">IF(K263="","",IF(K263&gt;0,"À appeler",IF(K263=0,"Réservé","Trop réservé")))</f>
        <v/>
      </c>
      <c r="M263" s="11"/>
    </row>
    <row r="264" customFormat="false" ht="15" hidden="false" customHeight="false" outlineLevel="0" collapsed="false">
      <c r="A264" s="10"/>
      <c r="B264" s="11"/>
      <c r="C264" s="11"/>
      <c r="D264" s="11"/>
      <c r="E264" s="11"/>
      <c r="F264" s="11"/>
      <c r="G264" s="12"/>
      <c r="H264" s="13" t="str">
        <f aca="false">IF(F264="","",IFERROR(INDEX(Tarifs!$B$2:$B$9,MATCH(F264,Tarifs!$A$2:$A$9,0)),""))</f>
        <v/>
      </c>
      <c r="I264" s="13" t="str">
        <f aca="false">IF(OR(G264="",H264=""),"",G264*H264*(1-IF(G264&gt;=Tarifs!$A$17,Tarifs!$B$17,IF(G264&gt;=Tarifs!$A$16,Tarifs!$B$16,0))))</f>
        <v/>
      </c>
      <c r="J264" s="14" t="str">
        <f aca="false">IF(B264="","",SUMIFS(Reservations!$G:$G,Reservations!$B:$B,B264))</f>
        <v/>
      </c>
      <c r="K264" s="14" t="str">
        <f aca="false">IF(OR(B264="",G264=""),"",G264-J264)</f>
        <v/>
      </c>
      <c r="L264" s="15" t="str">
        <f aca="false">IF(K264="","",IF(K264&gt;0,"À appeler",IF(K264=0,"Réservé","Trop réservé")))</f>
        <v/>
      </c>
      <c r="M264" s="11"/>
    </row>
    <row r="265" customFormat="false" ht="15" hidden="false" customHeight="false" outlineLevel="0" collapsed="false">
      <c r="A265" s="10"/>
      <c r="B265" s="11"/>
      <c r="C265" s="11"/>
      <c r="D265" s="11"/>
      <c r="E265" s="11"/>
      <c r="F265" s="11"/>
      <c r="G265" s="12"/>
      <c r="H265" s="13" t="str">
        <f aca="false">IF(F265="","",IFERROR(INDEX(Tarifs!$B$2:$B$9,MATCH(F265,Tarifs!$A$2:$A$9,0)),""))</f>
        <v/>
      </c>
      <c r="I265" s="13" t="str">
        <f aca="false">IF(OR(G265="",H265=""),"",G265*H265*(1-IF(G265&gt;=Tarifs!$A$17,Tarifs!$B$17,IF(G265&gt;=Tarifs!$A$16,Tarifs!$B$16,0))))</f>
        <v/>
      </c>
      <c r="J265" s="14" t="str">
        <f aca="false">IF(B265="","",SUMIFS(Reservations!$G:$G,Reservations!$B:$B,B265))</f>
        <v/>
      </c>
      <c r="K265" s="14" t="str">
        <f aca="false">IF(OR(B265="",G265=""),"",G265-J265)</f>
        <v/>
      </c>
      <c r="L265" s="15" t="str">
        <f aca="false">IF(K265="","",IF(K265&gt;0,"À appeler",IF(K265=0,"Réservé","Trop réservé")))</f>
        <v/>
      </c>
      <c r="M265" s="11"/>
    </row>
    <row r="266" customFormat="false" ht="15" hidden="false" customHeight="false" outlineLevel="0" collapsed="false">
      <c r="A266" s="10"/>
      <c r="B266" s="11"/>
      <c r="C266" s="11"/>
      <c r="D266" s="11"/>
      <c r="E266" s="11"/>
      <c r="F266" s="11"/>
      <c r="G266" s="12"/>
      <c r="H266" s="13" t="str">
        <f aca="false">IF(F266="","",IFERROR(INDEX(Tarifs!$B$2:$B$9,MATCH(F266,Tarifs!$A$2:$A$9,0)),""))</f>
        <v/>
      </c>
      <c r="I266" s="13" t="str">
        <f aca="false">IF(OR(G266="",H266=""),"",G266*H266*(1-IF(G266&gt;=Tarifs!$A$17,Tarifs!$B$17,IF(G266&gt;=Tarifs!$A$16,Tarifs!$B$16,0))))</f>
        <v/>
      </c>
      <c r="J266" s="14" t="str">
        <f aca="false">IF(B266="","",SUMIFS(Reservations!$G:$G,Reservations!$B:$B,B266))</f>
        <v/>
      </c>
      <c r="K266" s="14" t="str">
        <f aca="false">IF(OR(B266="",G266=""),"",G266-J266)</f>
        <v/>
      </c>
      <c r="L266" s="15" t="str">
        <f aca="false">IF(K266="","",IF(K266&gt;0,"À appeler",IF(K266=0,"Réservé","Trop réservé")))</f>
        <v/>
      </c>
      <c r="M266" s="11"/>
    </row>
    <row r="267" customFormat="false" ht="15" hidden="false" customHeight="false" outlineLevel="0" collapsed="false">
      <c r="A267" s="10"/>
      <c r="B267" s="11"/>
      <c r="C267" s="11"/>
      <c r="D267" s="11"/>
      <c r="E267" s="11"/>
      <c r="F267" s="11"/>
      <c r="G267" s="12"/>
      <c r="H267" s="13" t="str">
        <f aca="false">IF(F267="","",IFERROR(INDEX(Tarifs!$B$2:$B$9,MATCH(F267,Tarifs!$A$2:$A$9,0)),""))</f>
        <v/>
      </c>
      <c r="I267" s="13" t="str">
        <f aca="false">IF(OR(G267="",H267=""),"",G267*H267*(1-IF(G267&gt;=Tarifs!$A$17,Tarifs!$B$17,IF(G267&gt;=Tarifs!$A$16,Tarifs!$B$16,0))))</f>
        <v/>
      </c>
      <c r="J267" s="14" t="str">
        <f aca="false">IF(B267="","",SUMIFS(Reservations!$G:$G,Reservations!$B:$B,B267))</f>
        <v/>
      </c>
      <c r="K267" s="14" t="str">
        <f aca="false">IF(OR(B267="",G267=""),"",G267-J267)</f>
        <v/>
      </c>
      <c r="L267" s="15" t="str">
        <f aca="false">IF(K267="","",IF(K267&gt;0,"À appeler",IF(K267=0,"Réservé","Trop réservé")))</f>
        <v/>
      </c>
      <c r="M267" s="11"/>
    </row>
    <row r="268" customFormat="false" ht="15" hidden="false" customHeight="false" outlineLevel="0" collapsed="false">
      <c r="A268" s="10"/>
      <c r="B268" s="11"/>
      <c r="C268" s="11"/>
      <c r="D268" s="11"/>
      <c r="E268" s="11"/>
      <c r="F268" s="11"/>
      <c r="G268" s="12"/>
      <c r="H268" s="13" t="str">
        <f aca="false">IF(F268="","",IFERROR(INDEX(Tarifs!$B$2:$B$9,MATCH(F268,Tarifs!$A$2:$A$9,0)),""))</f>
        <v/>
      </c>
      <c r="I268" s="13" t="str">
        <f aca="false">IF(OR(G268="",H268=""),"",G268*H268*(1-IF(G268&gt;=Tarifs!$A$17,Tarifs!$B$17,IF(G268&gt;=Tarifs!$A$16,Tarifs!$B$16,0))))</f>
        <v/>
      </c>
      <c r="J268" s="14" t="str">
        <f aca="false">IF(B268="","",SUMIFS(Reservations!$G:$G,Reservations!$B:$B,B268))</f>
        <v/>
      </c>
      <c r="K268" s="14" t="str">
        <f aca="false">IF(OR(B268="",G268=""),"",G268-J268)</f>
        <v/>
      </c>
      <c r="L268" s="15" t="str">
        <f aca="false">IF(K268="","",IF(K268&gt;0,"À appeler",IF(K268=0,"Réservé","Trop réservé")))</f>
        <v/>
      </c>
      <c r="M268" s="11"/>
    </row>
    <row r="269" customFormat="false" ht="15" hidden="false" customHeight="false" outlineLevel="0" collapsed="false">
      <c r="A269" s="10"/>
      <c r="B269" s="11"/>
      <c r="C269" s="11"/>
      <c r="D269" s="11"/>
      <c r="E269" s="11"/>
      <c r="F269" s="11"/>
      <c r="G269" s="12"/>
      <c r="H269" s="13" t="str">
        <f aca="false">IF(F269="","",IFERROR(INDEX(Tarifs!$B$2:$B$9,MATCH(F269,Tarifs!$A$2:$A$9,0)),""))</f>
        <v/>
      </c>
      <c r="I269" s="13" t="str">
        <f aca="false">IF(OR(G269="",H269=""),"",G269*H269*(1-IF(G269&gt;=Tarifs!$A$17,Tarifs!$B$17,IF(G269&gt;=Tarifs!$A$16,Tarifs!$B$16,0))))</f>
        <v/>
      </c>
      <c r="J269" s="14" t="str">
        <f aca="false">IF(B269="","",SUMIFS(Reservations!$G:$G,Reservations!$B:$B,B269))</f>
        <v/>
      </c>
      <c r="K269" s="14" t="str">
        <f aca="false">IF(OR(B269="",G269=""),"",G269-J269)</f>
        <v/>
      </c>
      <c r="L269" s="15" t="str">
        <f aca="false">IF(K269="","",IF(K269&gt;0,"À appeler",IF(K269=0,"Réservé","Trop réservé")))</f>
        <v/>
      </c>
      <c r="M269" s="11"/>
    </row>
    <row r="270" customFormat="false" ht="15" hidden="false" customHeight="false" outlineLevel="0" collapsed="false">
      <c r="A270" s="10"/>
      <c r="B270" s="11"/>
      <c r="C270" s="11"/>
      <c r="D270" s="11"/>
      <c r="E270" s="11"/>
      <c r="F270" s="11"/>
      <c r="G270" s="12"/>
      <c r="H270" s="13" t="str">
        <f aca="false">IF(F270="","",IFERROR(INDEX(Tarifs!$B$2:$B$9,MATCH(F270,Tarifs!$A$2:$A$9,0)),""))</f>
        <v/>
      </c>
      <c r="I270" s="13" t="str">
        <f aca="false">IF(OR(G270="",H270=""),"",G270*H270*(1-IF(G270&gt;=Tarifs!$A$17,Tarifs!$B$17,IF(G270&gt;=Tarifs!$A$16,Tarifs!$B$16,0))))</f>
        <v/>
      </c>
      <c r="J270" s="14" t="str">
        <f aca="false">IF(B270="","",SUMIFS(Reservations!$G:$G,Reservations!$B:$B,B270))</f>
        <v/>
      </c>
      <c r="K270" s="14" t="str">
        <f aca="false">IF(OR(B270="",G270=""),"",G270-J270)</f>
        <v/>
      </c>
      <c r="L270" s="15" t="str">
        <f aca="false">IF(K270="","",IF(K270&gt;0,"À appeler",IF(K270=0,"Réservé","Trop réservé")))</f>
        <v/>
      </c>
      <c r="M270" s="11"/>
    </row>
    <row r="271" customFormat="false" ht="15" hidden="false" customHeight="false" outlineLevel="0" collapsed="false">
      <c r="A271" s="10"/>
      <c r="B271" s="11"/>
      <c r="C271" s="11"/>
      <c r="D271" s="11"/>
      <c r="E271" s="11"/>
      <c r="F271" s="11"/>
      <c r="G271" s="12"/>
      <c r="H271" s="13" t="str">
        <f aca="false">IF(F271="","",IFERROR(INDEX(Tarifs!$B$2:$B$9,MATCH(F271,Tarifs!$A$2:$A$9,0)),""))</f>
        <v/>
      </c>
      <c r="I271" s="13" t="str">
        <f aca="false">IF(OR(G271="",H271=""),"",G271*H271*(1-IF(G271&gt;=Tarifs!$A$17,Tarifs!$B$17,IF(G271&gt;=Tarifs!$A$16,Tarifs!$B$16,0))))</f>
        <v/>
      </c>
      <c r="J271" s="14" t="str">
        <f aca="false">IF(B271="","",SUMIFS(Reservations!$G:$G,Reservations!$B:$B,B271))</f>
        <v/>
      </c>
      <c r="K271" s="14" t="str">
        <f aca="false">IF(OR(B271="",G271=""),"",G271-J271)</f>
        <v/>
      </c>
      <c r="L271" s="15" t="str">
        <f aca="false">IF(K271="","",IF(K271&gt;0,"À appeler",IF(K271=0,"Réservé","Trop réservé")))</f>
        <v/>
      </c>
      <c r="M271" s="11"/>
    </row>
    <row r="272" customFormat="false" ht="15" hidden="false" customHeight="false" outlineLevel="0" collapsed="false">
      <c r="A272" s="10"/>
      <c r="B272" s="11"/>
      <c r="C272" s="11"/>
      <c r="D272" s="11"/>
      <c r="E272" s="11"/>
      <c r="F272" s="11"/>
      <c r="G272" s="12"/>
      <c r="H272" s="13" t="str">
        <f aca="false">IF(F272="","",IFERROR(INDEX(Tarifs!$B$2:$B$9,MATCH(F272,Tarifs!$A$2:$A$9,0)),""))</f>
        <v/>
      </c>
      <c r="I272" s="13" t="str">
        <f aca="false">IF(OR(G272="",H272=""),"",G272*H272*(1-IF(G272&gt;=Tarifs!$A$17,Tarifs!$B$17,IF(G272&gt;=Tarifs!$A$16,Tarifs!$B$16,0))))</f>
        <v/>
      </c>
      <c r="J272" s="14" t="str">
        <f aca="false">IF(B272="","",SUMIFS(Reservations!$G:$G,Reservations!$B:$B,B272))</f>
        <v/>
      </c>
      <c r="K272" s="14" t="str">
        <f aca="false">IF(OR(B272="",G272=""),"",G272-J272)</f>
        <v/>
      </c>
      <c r="L272" s="15" t="str">
        <f aca="false">IF(K272="","",IF(K272&gt;0,"À appeler",IF(K272=0,"Réservé","Trop réservé")))</f>
        <v/>
      </c>
      <c r="M272" s="11"/>
    </row>
    <row r="273" customFormat="false" ht="15" hidden="false" customHeight="false" outlineLevel="0" collapsed="false">
      <c r="A273" s="10"/>
      <c r="B273" s="11"/>
      <c r="C273" s="11"/>
      <c r="D273" s="11"/>
      <c r="E273" s="11"/>
      <c r="F273" s="11"/>
      <c r="G273" s="12"/>
      <c r="H273" s="13" t="str">
        <f aca="false">IF(F273="","",IFERROR(INDEX(Tarifs!$B$2:$B$9,MATCH(F273,Tarifs!$A$2:$A$9,0)),""))</f>
        <v/>
      </c>
      <c r="I273" s="13" t="str">
        <f aca="false">IF(OR(G273="",H273=""),"",G273*H273*(1-IF(G273&gt;=Tarifs!$A$17,Tarifs!$B$17,IF(G273&gt;=Tarifs!$A$16,Tarifs!$B$16,0))))</f>
        <v/>
      </c>
      <c r="J273" s="14" t="str">
        <f aca="false">IF(B273="","",SUMIFS(Reservations!$G:$G,Reservations!$B:$B,B273))</f>
        <v/>
      </c>
      <c r="K273" s="14" t="str">
        <f aca="false">IF(OR(B273="",G273=""),"",G273-J273)</f>
        <v/>
      </c>
      <c r="L273" s="15" t="str">
        <f aca="false">IF(K273="","",IF(K273&gt;0,"À appeler",IF(K273=0,"Réservé","Trop réservé")))</f>
        <v/>
      </c>
      <c r="M273" s="11"/>
    </row>
    <row r="274" customFormat="false" ht="15" hidden="false" customHeight="false" outlineLevel="0" collapsed="false">
      <c r="A274" s="10"/>
      <c r="B274" s="11"/>
      <c r="C274" s="11"/>
      <c r="D274" s="11"/>
      <c r="E274" s="11"/>
      <c r="F274" s="11"/>
      <c r="G274" s="12"/>
      <c r="H274" s="13" t="str">
        <f aca="false">IF(F274="","",IFERROR(INDEX(Tarifs!$B$2:$B$9,MATCH(F274,Tarifs!$A$2:$A$9,0)),""))</f>
        <v/>
      </c>
      <c r="I274" s="13" t="str">
        <f aca="false">IF(OR(G274="",H274=""),"",G274*H274*(1-IF(G274&gt;=Tarifs!$A$17,Tarifs!$B$17,IF(G274&gt;=Tarifs!$A$16,Tarifs!$B$16,0))))</f>
        <v/>
      </c>
      <c r="J274" s="14" t="str">
        <f aca="false">IF(B274="","",SUMIFS(Reservations!$G:$G,Reservations!$B:$B,B274))</f>
        <v/>
      </c>
      <c r="K274" s="14" t="str">
        <f aca="false">IF(OR(B274="",G274=""),"",G274-J274)</f>
        <v/>
      </c>
      <c r="L274" s="15" t="str">
        <f aca="false">IF(K274="","",IF(K274&gt;0,"À appeler",IF(K274=0,"Réservé","Trop réservé")))</f>
        <v/>
      </c>
      <c r="M274" s="11"/>
    </row>
    <row r="275" customFormat="false" ht="15" hidden="false" customHeight="false" outlineLevel="0" collapsed="false">
      <c r="A275" s="10"/>
      <c r="B275" s="11"/>
      <c r="C275" s="11"/>
      <c r="D275" s="11"/>
      <c r="E275" s="11"/>
      <c r="F275" s="11"/>
      <c r="G275" s="12"/>
      <c r="H275" s="13" t="str">
        <f aca="false">IF(F275="","",IFERROR(INDEX(Tarifs!$B$2:$B$9,MATCH(F275,Tarifs!$A$2:$A$9,0)),""))</f>
        <v/>
      </c>
      <c r="I275" s="13" t="str">
        <f aca="false">IF(OR(G275="",H275=""),"",G275*H275*(1-IF(G275&gt;=Tarifs!$A$17,Tarifs!$B$17,IF(G275&gt;=Tarifs!$A$16,Tarifs!$B$16,0))))</f>
        <v/>
      </c>
      <c r="J275" s="14" t="str">
        <f aca="false">IF(B275="","",SUMIFS(Reservations!$G:$G,Reservations!$B:$B,B275))</f>
        <v/>
      </c>
      <c r="K275" s="14" t="str">
        <f aca="false">IF(OR(B275="",G275=""),"",G275-J275)</f>
        <v/>
      </c>
      <c r="L275" s="15" t="str">
        <f aca="false">IF(K275="","",IF(K275&gt;0,"À appeler",IF(K275=0,"Réservé","Trop réservé")))</f>
        <v/>
      </c>
      <c r="M275" s="11"/>
    </row>
    <row r="276" customFormat="false" ht="15" hidden="false" customHeight="false" outlineLevel="0" collapsed="false">
      <c r="A276" s="10"/>
      <c r="B276" s="11"/>
      <c r="C276" s="11"/>
      <c r="D276" s="11"/>
      <c r="E276" s="11"/>
      <c r="F276" s="11"/>
      <c r="G276" s="12"/>
      <c r="H276" s="13" t="str">
        <f aca="false">IF(F276="","",IFERROR(INDEX(Tarifs!$B$2:$B$9,MATCH(F276,Tarifs!$A$2:$A$9,0)),""))</f>
        <v/>
      </c>
      <c r="I276" s="13" t="str">
        <f aca="false">IF(OR(G276="",H276=""),"",G276*H276*(1-IF(G276&gt;=Tarifs!$A$17,Tarifs!$B$17,IF(G276&gt;=Tarifs!$A$16,Tarifs!$B$16,0))))</f>
        <v/>
      </c>
      <c r="J276" s="14" t="str">
        <f aca="false">IF(B276="","",SUMIFS(Reservations!$G:$G,Reservations!$B:$B,B276))</f>
        <v/>
      </c>
      <c r="K276" s="14" t="str">
        <f aca="false">IF(OR(B276="",G276=""),"",G276-J276)</f>
        <v/>
      </c>
      <c r="L276" s="15" t="str">
        <f aca="false">IF(K276="","",IF(K276&gt;0,"À appeler",IF(K276=0,"Réservé","Trop réservé")))</f>
        <v/>
      </c>
      <c r="M276" s="11"/>
    </row>
    <row r="277" customFormat="false" ht="15" hidden="false" customHeight="false" outlineLevel="0" collapsed="false">
      <c r="A277" s="10"/>
      <c r="B277" s="11"/>
      <c r="C277" s="11"/>
      <c r="D277" s="11"/>
      <c r="E277" s="11"/>
      <c r="F277" s="11"/>
      <c r="G277" s="12"/>
      <c r="H277" s="13" t="str">
        <f aca="false">IF(F277="","",IFERROR(INDEX(Tarifs!$B$2:$B$9,MATCH(F277,Tarifs!$A$2:$A$9,0)),""))</f>
        <v/>
      </c>
      <c r="I277" s="13" t="str">
        <f aca="false">IF(OR(G277="",H277=""),"",G277*H277*(1-IF(G277&gt;=Tarifs!$A$17,Tarifs!$B$17,IF(G277&gt;=Tarifs!$A$16,Tarifs!$B$16,0))))</f>
        <v/>
      </c>
      <c r="J277" s="14" t="str">
        <f aca="false">IF(B277="","",SUMIFS(Reservations!$G:$G,Reservations!$B:$B,B277))</f>
        <v/>
      </c>
      <c r="K277" s="14" t="str">
        <f aca="false">IF(OR(B277="",G277=""),"",G277-J277)</f>
        <v/>
      </c>
      <c r="L277" s="15" t="str">
        <f aca="false">IF(K277="","",IF(K277&gt;0,"À appeler",IF(K277=0,"Réservé","Trop réservé")))</f>
        <v/>
      </c>
      <c r="M277" s="11"/>
    </row>
    <row r="278" customFormat="false" ht="15" hidden="false" customHeight="false" outlineLevel="0" collapsed="false">
      <c r="A278" s="10"/>
      <c r="B278" s="11"/>
      <c r="C278" s="11"/>
      <c r="D278" s="11"/>
      <c r="E278" s="11"/>
      <c r="F278" s="11"/>
      <c r="G278" s="12"/>
      <c r="H278" s="13" t="str">
        <f aca="false">IF(F278="","",IFERROR(INDEX(Tarifs!$B$2:$B$9,MATCH(F278,Tarifs!$A$2:$A$9,0)),""))</f>
        <v/>
      </c>
      <c r="I278" s="13" t="str">
        <f aca="false">IF(OR(G278="",H278=""),"",G278*H278*(1-IF(G278&gt;=Tarifs!$A$17,Tarifs!$B$17,IF(G278&gt;=Tarifs!$A$16,Tarifs!$B$16,0))))</f>
        <v/>
      </c>
      <c r="J278" s="14" t="str">
        <f aca="false">IF(B278="","",SUMIFS(Reservations!$G:$G,Reservations!$B:$B,B278))</f>
        <v/>
      </c>
      <c r="K278" s="14" t="str">
        <f aca="false">IF(OR(B278="",G278=""),"",G278-J278)</f>
        <v/>
      </c>
      <c r="L278" s="15" t="str">
        <f aca="false">IF(K278="","",IF(K278&gt;0,"À appeler",IF(K278=0,"Réservé","Trop réservé")))</f>
        <v/>
      </c>
      <c r="M278" s="11"/>
    </row>
    <row r="279" customFormat="false" ht="15" hidden="false" customHeight="false" outlineLevel="0" collapsed="false">
      <c r="A279" s="10"/>
      <c r="B279" s="11"/>
      <c r="C279" s="11"/>
      <c r="D279" s="11"/>
      <c r="E279" s="11"/>
      <c r="F279" s="11"/>
      <c r="G279" s="12"/>
      <c r="H279" s="13" t="str">
        <f aca="false">IF(F279="","",IFERROR(INDEX(Tarifs!$B$2:$B$9,MATCH(F279,Tarifs!$A$2:$A$9,0)),""))</f>
        <v/>
      </c>
      <c r="I279" s="13" t="str">
        <f aca="false">IF(OR(G279="",H279=""),"",G279*H279*(1-IF(G279&gt;=Tarifs!$A$17,Tarifs!$B$17,IF(G279&gt;=Tarifs!$A$16,Tarifs!$B$16,0))))</f>
        <v/>
      </c>
      <c r="J279" s="14" t="str">
        <f aca="false">IF(B279="","",SUMIFS(Reservations!$G:$G,Reservations!$B:$B,B279))</f>
        <v/>
      </c>
      <c r="K279" s="14" t="str">
        <f aca="false">IF(OR(B279="",G279=""),"",G279-J279)</f>
        <v/>
      </c>
      <c r="L279" s="15" t="str">
        <f aca="false">IF(K279="","",IF(K279&gt;0,"À appeler",IF(K279=0,"Réservé","Trop réservé")))</f>
        <v/>
      </c>
      <c r="M279" s="11"/>
    </row>
    <row r="280" customFormat="false" ht="15" hidden="false" customHeight="false" outlineLevel="0" collapsed="false">
      <c r="A280" s="10"/>
      <c r="B280" s="11"/>
      <c r="C280" s="11"/>
      <c r="D280" s="11"/>
      <c r="E280" s="11"/>
      <c r="F280" s="11"/>
      <c r="G280" s="12"/>
      <c r="H280" s="13" t="str">
        <f aca="false">IF(F280="","",IFERROR(INDEX(Tarifs!$B$2:$B$9,MATCH(F280,Tarifs!$A$2:$A$9,0)),""))</f>
        <v/>
      </c>
      <c r="I280" s="13" t="str">
        <f aca="false">IF(OR(G280="",H280=""),"",G280*H280*(1-IF(G280&gt;=Tarifs!$A$17,Tarifs!$B$17,IF(G280&gt;=Tarifs!$A$16,Tarifs!$B$16,0))))</f>
        <v/>
      </c>
      <c r="J280" s="14" t="str">
        <f aca="false">IF(B280="","",SUMIFS(Reservations!$G:$G,Reservations!$B:$B,B280))</f>
        <v/>
      </c>
      <c r="K280" s="14" t="str">
        <f aca="false">IF(OR(B280="",G280=""),"",G280-J280)</f>
        <v/>
      </c>
      <c r="L280" s="15" t="str">
        <f aca="false">IF(K280="","",IF(K280&gt;0,"À appeler",IF(K280=0,"Réservé","Trop réservé")))</f>
        <v/>
      </c>
      <c r="M280" s="11"/>
    </row>
    <row r="281" customFormat="false" ht="15" hidden="false" customHeight="false" outlineLevel="0" collapsed="false">
      <c r="A281" s="10"/>
      <c r="B281" s="11"/>
      <c r="C281" s="11"/>
      <c r="D281" s="11"/>
      <c r="E281" s="11"/>
      <c r="F281" s="11"/>
      <c r="G281" s="12"/>
      <c r="H281" s="13" t="str">
        <f aca="false">IF(F281="","",IFERROR(INDEX(Tarifs!$B$2:$B$9,MATCH(F281,Tarifs!$A$2:$A$9,0)),""))</f>
        <v/>
      </c>
      <c r="I281" s="13" t="str">
        <f aca="false">IF(OR(G281="",H281=""),"",G281*H281*(1-IF(G281&gt;=Tarifs!$A$17,Tarifs!$B$17,IF(G281&gt;=Tarifs!$A$16,Tarifs!$B$16,0))))</f>
        <v/>
      </c>
      <c r="J281" s="14" t="str">
        <f aca="false">IF(B281="","",SUMIFS(Reservations!$G:$G,Reservations!$B:$B,B281))</f>
        <v/>
      </c>
      <c r="K281" s="14" t="str">
        <f aca="false">IF(OR(B281="",G281=""),"",G281-J281)</f>
        <v/>
      </c>
      <c r="L281" s="15" t="str">
        <f aca="false">IF(K281="","",IF(K281&gt;0,"À appeler",IF(K281=0,"Réservé","Trop réservé")))</f>
        <v/>
      </c>
      <c r="M281" s="11"/>
    </row>
    <row r="282" customFormat="false" ht="15" hidden="false" customHeight="false" outlineLevel="0" collapsed="false">
      <c r="A282" s="10"/>
      <c r="B282" s="11"/>
      <c r="C282" s="11"/>
      <c r="D282" s="11"/>
      <c r="E282" s="11"/>
      <c r="F282" s="11"/>
      <c r="G282" s="12"/>
      <c r="H282" s="13" t="str">
        <f aca="false">IF(F282="","",IFERROR(INDEX(Tarifs!$B$2:$B$9,MATCH(F282,Tarifs!$A$2:$A$9,0)),""))</f>
        <v/>
      </c>
      <c r="I282" s="13" t="str">
        <f aca="false">IF(OR(G282="",H282=""),"",G282*H282*(1-IF(G282&gt;=Tarifs!$A$17,Tarifs!$B$17,IF(G282&gt;=Tarifs!$A$16,Tarifs!$B$16,0))))</f>
        <v/>
      </c>
      <c r="J282" s="14" t="str">
        <f aca="false">IF(B282="","",SUMIFS(Reservations!$G:$G,Reservations!$B:$B,B282))</f>
        <v/>
      </c>
      <c r="K282" s="14" t="str">
        <f aca="false">IF(OR(B282="",G282=""),"",G282-J282)</f>
        <v/>
      </c>
      <c r="L282" s="15" t="str">
        <f aca="false">IF(K282="","",IF(K282&gt;0,"À appeler",IF(K282=0,"Réservé","Trop réservé")))</f>
        <v/>
      </c>
      <c r="M282" s="11"/>
    </row>
    <row r="283" customFormat="false" ht="15" hidden="false" customHeight="false" outlineLevel="0" collapsed="false">
      <c r="A283" s="10"/>
      <c r="B283" s="11"/>
      <c r="C283" s="11"/>
      <c r="D283" s="11"/>
      <c r="E283" s="11"/>
      <c r="F283" s="11"/>
      <c r="G283" s="12"/>
      <c r="H283" s="13" t="str">
        <f aca="false">IF(F283="","",IFERROR(INDEX(Tarifs!$B$2:$B$9,MATCH(F283,Tarifs!$A$2:$A$9,0)),""))</f>
        <v/>
      </c>
      <c r="I283" s="13" t="str">
        <f aca="false">IF(OR(G283="",H283=""),"",G283*H283*(1-IF(G283&gt;=Tarifs!$A$17,Tarifs!$B$17,IF(G283&gt;=Tarifs!$A$16,Tarifs!$B$16,0))))</f>
        <v/>
      </c>
      <c r="J283" s="14" t="str">
        <f aca="false">IF(B283="","",SUMIFS(Reservations!$G:$G,Reservations!$B:$B,B283))</f>
        <v/>
      </c>
      <c r="K283" s="14" t="str">
        <f aca="false">IF(OR(B283="",G283=""),"",G283-J283)</f>
        <v/>
      </c>
      <c r="L283" s="15" t="str">
        <f aca="false">IF(K283="","",IF(K283&gt;0,"À appeler",IF(K283=0,"Réservé","Trop réservé")))</f>
        <v/>
      </c>
      <c r="M283" s="11"/>
    </row>
    <row r="284" customFormat="false" ht="15" hidden="false" customHeight="false" outlineLevel="0" collapsed="false">
      <c r="A284" s="10"/>
      <c r="B284" s="11"/>
      <c r="C284" s="11"/>
      <c r="D284" s="11"/>
      <c r="E284" s="11"/>
      <c r="F284" s="11"/>
      <c r="G284" s="12"/>
      <c r="H284" s="13" t="str">
        <f aca="false">IF(F284="","",IFERROR(INDEX(Tarifs!$B$2:$B$9,MATCH(F284,Tarifs!$A$2:$A$9,0)),""))</f>
        <v/>
      </c>
      <c r="I284" s="13" t="str">
        <f aca="false">IF(OR(G284="",H284=""),"",G284*H284*(1-IF(G284&gt;=Tarifs!$A$17,Tarifs!$B$17,IF(G284&gt;=Tarifs!$A$16,Tarifs!$B$16,0))))</f>
        <v/>
      </c>
      <c r="J284" s="14" t="str">
        <f aca="false">IF(B284="","",SUMIFS(Reservations!$G:$G,Reservations!$B:$B,B284))</f>
        <v/>
      </c>
      <c r="K284" s="14" t="str">
        <f aca="false">IF(OR(B284="",G284=""),"",G284-J284)</f>
        <v/>
      </c>
      <c r="L284" s="15" t="str">
        <f aca="false">IF(K284="","",IF(K284&gt;0,"À appeler",IF(K284=0,"Réservé","Trop réservé")))</f>
        <v/>
      </c>
      <c r="M284" s="11"/>
    </row>
    <row r="285" customFormat="false" ht="15" hidden="false" customHeight="false" outlineLevel="0" collapsed="false">
      <c r="A285" s="10"/>
      <c r="B285" s="11"/>
      <c r="C285" s="11"/>
      <c r="D285" s="11"/>
      <c r="E285" s="11"/>
      <c r="F285" s="11"/>
      <c r="G285" s="12"/>
      <c r="H285" s="13" t="str">
        <f aca="false">IF(F285="","",IFERROR(INDEX(Tarifs!$B$2:$B$9,MATCH(F285,Tarifs!$A$2:$A$9,0)),""))</f>
        <v/>
      </c>
      <c r="I285" s="13" t="str">
        <f aca="false">IF(OR(G285="",H285=""),"",G285*H285*(1-IF(G285&gt;=Tarifs!$A$17,Tarifs!$B$17,IF(G285&gt;=Tarifs!$A$16,Tarifs!$B$16,0))))</f>
        <v/>
      </c>
      <c r="J285" s="14" t="str">
        <f aca="false">IF(B285="","",SUMIFS(Reservations!$G:$G,Reservations!$B:$B,B285))</f>
        <v/>
      </c>
      <c r="K285" s="14" t="str">
        <f aca="false">IF(OR(B285="",G285=""),"",G285-J285)</f>
        <v/>
      </c>
      <c r="L285" s="15" t="str">
        <f aca="false">IF(K285="","",IF(K285&gt;0,"À appeler",IF(K285=0,"Réservé","Trop réservé")))</f>
        <v/>
      </c>
      <c r="M285" s="11"/>
    </row>
    <row r="286" customFormat="false" ht="15" hidden="false" customHeight="false" outlineLevel="0" collapsed="false">
      <c r="A286" s="10"/>
      <c r="B286" s="11"/>
      <c r="C286" s="11"/>
      <c r="D286" s="11"/>
      <c r="E286" s="11"/>
      <c r="F286" s="11"/>
      <c r="G286" s="12"/>
      <c r="H286" s="13" t="str">
        <f aca="false">IF(F286="","",IFERROR(INDEX(Tarifs!$B$2:$B$9,MATCH(F286,Tarifs!$A$2:$A$9,0)),""))</f>
        <v/>
      </c>
      <c r="I286" s="13" t="str">
        <f aca="false">IF(OR(G286="",H286=""),"",G286*H286*(1-IF(G286&gt;=Tarifs!$A$17,Tarifs!$B$17,IF(G286&gt;=Tarifs!$A$16,Tarifs!$B$16,0))))</f>
        <v/>
      </c>
      <c r="J286" s="14" t="str">
        <f aca="false">IF(B286="","",SUMIFS(Reservations!$G:$G,Reservations!$B:$B,B286))</f>
        <v/>
      </c>
      <c r="K286" s="14" t="str">
        <f aca="false">IF(OR(B286="",G286=""),"",G286-J286)</f>
        <v/>
      </c>
      <c r="L286" s="15" t="str">
        <f aca="false">IF(K286="","",IF(K286&gt;0,"À appeler",IF(K286=0,"Réservé","Trop réservé")))</f>
        <v/>
      </c>
      <c r="M286" s="11"/>
    </row>
    <row r="287" customFormat="false" ht="15" hidden="false" customHeight="false" outlineLevel="0" collapsed="false">
      <c r="A287" s="10"/>
      <c r="B287" s="11"/>
      <c r="C287" s="11"/>
      <c r="D287" s="11"/>
      <c r="E287" s="11"/>
      <c r="F287" s="11"/>
      <c r="G287" s="12"/>
      <c r="H287" s="13" t="str">
        <f aca="false">IF(F287="","",IFERROR(INDEX(Tarifs!$B$2:$B$9,MATCH(F287,Tarifs!$A$2:$A$9,0)),""))</f>
        <v/>
      </c>
      <c r="I287" s="13" t="str">
        <f aca="false">IF(OR(G287="",H287=""),"",G287*H287*(1-IF(G287&gt;=Tarifs!$A$17,Tarifs!$B$17,IF(G287&gt;=Tarifs!$A$16,Tarifs!$B$16,0))))</f>
        <v/>
      </c>
      <c r="J287" s="14" t="str">
        <f aca="false">IF(B287="","",SUMIFS(Reservations!$G:$G,Reservations!$B:$B,B287))</f>
        <v/>
      </c>
      <c r="K287" s="14" t="str">
        <f aca="false">IF(OR(B287="",G287=""),"",G287-J287)</f>
        <v/>
      </c>
      <c r="L287" s="15" t="str">
        <f aca="false">IF(K287="","",IF(K287&gt;0,"À appeler",IF(K287=0,"Réservé","Trop réservé")))</f>
        <v/>
      </c>
      <c r="M287" s="11"/>
    </row>
    <row r="288" customFormat="false" ht="15" hidden="false" customHeight="false" outlineLevel="0" collapsed="false">
      <c r="A288" s="10"/>
      <c r="B288" s="11"/>
      <c r="C288" s="11"/>
      <c r="D288" s="11"/>
      <c r="E288" s="11"/>
      <c r="F288" s="11"/>
      <c r="G288" s="12"/>
      <c r="H288" s="13" t="str">
        <f aca="false">IF(F288="","",IFERROR(INDEX(Tarifs!$B$2:$B$9,MATCH(F288,Tarifs!$A$2:$A$9,0)),""))</f>
        <v/>
      </c>
      <c r="I288" s="13" t="str">
        <f aca="false">IF(OR(G288="",H288=""),"",G288*H288*(1-IF(G288&gt;=Tarifs!$A$17,Tarifs!$B$17,IF(G288&gt;=Tarifs!$A$16,Tarifs!$B$16,0))))</f>
        <v/>
      </c>
      <c r="J288" s="14" t="str">
        <f aca="false">IF(B288="","",SUMIFS(Reservations!$G:$G,Reservations!$B:$B,B288))</f>
        <v/>
      </c>
      <c r="K288" s="14" t="str">
        <f aca="false">IF(OR(B288="",G288=""),"",G288-J288)</f>
        <v/>
      </c>
      <c r="L288" s="15" t="str">
        <f aca="false">IF(K288="","",IF(K288&gt;0,"À appeler",IF(K288=0,"Réservé","Trop réservé")))</f>
        <v/>
      </c>
      <c r="M288" s="11"/>
    </row>
    <row r="289" customFormat="false" ht="15" hidden="false" customHeight="false" outlineLevel="0" collapsed="false">
      <c r="A289" s="10"/>
      <c r="B289" s="11"/>
      <c r="C289" s="11"/>
      <c r="D289" s="11"/>
      <c r="E289" s="11"/>
      <c r="F289" s="11"/>
      <c r="G289" s="12"/>
      <c r="H289" s="13" t="str">
        <f aca="false">IF(F289="","",IFERROR(INDEX(Tarifs!$B$2:$B$9,MATCH(F289,Tarifs!$A$2:$A$9,0)),""))</f>
        <v/>
      </c>
      <c r="I289" s="13" t="str">
        <f aca="false">IF(OR(G289="",H289=""),"",G289*H289*(1-IF(G289&gt;=Tarifs!$A$17,Tarifs!$B$17,IF(G289&gt;=Tarifs!$A$16,Tarifs!$B$16,0))))</f>
        <v/>
      </c>
      <c r="J289" s="14" t="str">
        <f aca="false">IF(B289="","",SUMIFS(Reservations!$G:$G,Reservations!$B:$B,B289))</f>
        <v/>
      </c>
      <c r="K289" s="14" t="str">
        <f aca="false">IF(OR(B289="",G289=""),"",G289-J289)</f>
        <v/>
      </c>
      <c r="L289" s="15" t="str">
        <f aca="false">IF(K289="","",IF(K289&gt;0,"À appeler",IF(K289=0,"Réservé","Trop réservé")))</f>
        <v/>
      </c>
      <c r="M289" s="11"/>
    </row>
    <row r="290" customFormat="false" ht="15" hidden="false" customHeight="false" outlineLevel="0" collapsed="false">
      <c r="A290" s="10"/>
      <c r="B290" s="11"/>
      <c r="C290" s="11"/>
      <c r="D290" s="11"/>
      <c r="E290" s="11"/>
      <c r="F290" s="11"/>
      <c r="G290" s="12"/>
      <c r="H290" s="13" t="str">
        <f aca="false">IF(F290="","",IFERROR(INDEX(Tarifs!$B$2:$B$9,MATCH(F290,Tarifs!$A$2:$A$9,0)),""))</f>
        <v/>
      </c>
      <c r="I290" s="13" t="str">
        <f aca="false">IF(OR(G290="",H290=""),"",G290*H290*(1-IF(G290&gt;=Tarifs!$A$17,Tarifs!$B$17,IF(G290&gt;=Tarifs!$A$16,Tarifs!$B$16,0))))</f>
        <v/>
      </c>
      <c r="J290" s="14" t="str">
        <f aca="false">IF(B290="","",SUMIFS(Reservations!$G:$G,Reservations!$B:$B,B290))</f>
        <v/>
      </c>
      <c r="K290" s="14" t="str">
        <f aca="false">IF(OR(B290="",G290=""),"",G290-J290)</f>
        <v/>
      </c>
      <c r="L290" s="15" t="str">
        <f aca="false">IF(K290="","",IF(K290&gt;0,"À appeler",IF(K290=0,"Réservé","Trop réservé")))</f>
        <v/>
      </c>
      <c r="M290" s="11"/>
    </row>
    <row r="291" customFormat="false" ht="15" hidden="false" customHeight="false" outlineLevel="0" collapsed="false">
      <c r="A291" s="10"/>
      <c r="B291" s="11"/>
      <c r="C291" s="11"/>
      <c r="D291" s="11"/>
      <c r="E291" s="11"/>
      <c r="F291" s="11"/>
      <c r="G291" s="12"/>
      <c r="H291" s="13" t="str">
        <f aca="false">IF(F291="","",IFERROR(INDEX(Tarifs!$B$2:$B$9,MATCH(F291,Tarifs!$A$2:$A$9,0)),""))</f>
        <v/>
      </c>
      <c r="I291" s="13" t="str">
        <f aca="false">IF(OR(G291="",H291=""),"",G291*H291*(1-IF(G291&gt;=Tarifs!$A$17,Tarifs!$B$17,IF(G291&gt;=Tarifs!$A$16,Tarifs!$B$16,0))))</f>
        <v/>
      </c>
      <c r="J291" s="14" t="str">
        <f aca="false">IF(B291="","",SUMIFS(Reservations!$G:$G,Reservations!$B:$B,B291))</f>
        <v/>
      </c>
      <c r="K291" s="14" t="str">
        <f aca="false">IF(OR(B291="",G291=""),"",G291-J291)</f>
        <v/>
      </c>
      <c r="L291" s="15" t="str">
        <f aca="false">IF(K291="","",IF(K291&gt;0,"À appeler",IF(K291=0,"Réservé","Trop réservé")))</f>
        <v/>
      </c>
      <c r="M291" s="11"/>
    </row>
    <row r="292" customFormat="false" ht="15" hidden="false" customHeight="false" outlineLevel="0" collapsed="false">
      <c r="A292" s="10"/>
      <c r="B292" s="11"/>
      <c r="C292" s="11"/>
      <c r="D292" s="11"/>
      <c r="E292" s="11"/>
      <c r="F292" s="11"/>
      <c r="G292" s="12"/>
      <c r="H292" s="13" t="str">
        <f aca="false">IF(F292="","",IFERROR(INDEX(Tarifs!$B$2:$B$9,MATCH(F292,Tarifs!$A$2:$A$9,0)),""))</f>
        <v/>
      </c>
      <c r="I292" s="13" t="str">
        <f aca="false">IF(OR(G292="",H292=""),"",G292*H292*(1-IF(G292&gt;=Tarifs!$A$17,Tarifs!$B$17,IF(G292&gt;=Tarifs!$A$16,Tarifs!$B$16,0))))</f>
        <v/>
      </c>
      <c r="J292" s="14" t="str">
        <f aca="false">IF(B292="","",SUMIFS(Reservations!$G:$G,Reservations!$B:$B,B292))</f>
        <v/>
      </c>
      <c r="K292" s="14" t="str">
        <f aca="false">IF(OR(B292="",G292=""),"",G292-J292)</f>
        <v/>
      </c>
      <c r="L292" s="15" t="str">
        <f aca="false">IF(K292="","",IF(K292&gt;0,"À appeler",IF(K292=0,"Réservé","Trop réservé")))</f>
        <v/>
      </c>
      <c r="M292" s="11"/>
    </row>
    <row r="293" customFormat="false" ht="15" hidden="false" customHeight="false" outlineLevel="0" collapsed="false">
      <c r="A293" s="10"/>
      <c r="B293" s="11"/>
      <c r="C293" s="11"/>
      <c r="D293" s="11"/>
      <c r="E293" s="11"/>
      <c r="F293" s="11"/>
      <c r="G293" s="12"/>
      <c r="H293" s="13" t="str">
        <f aca="false">IF(F293="","",IFERROR(INDEX(Tarifs!$B$2:$B$9,MATCH(F293,Tarifs!$A$2:$A$9,0)),""))</f>
        <v/>
      </c>
      <c r="I293" s="13" t="str">
        <f aca="false">IF(OR(G293="",H293=""),"",G293*H293*(1-IF(G293&gt;=Tarifs!$A$17,Tarifs!$B$17,IF(G293&gt;=Tarifs!$A$16,Tarifs!$B$16,0))))</f>
        <v/>
      </c>
      <c r="J293" s="14" t="str">
        <f aca="false">IF(B293="","",SUMIFS(Reservations!$G:$G,Reservations!$B:$B,B293))</f>
        <v/>
      </c>
      <c r="K293" s="14" t="str">
        <f aca="false">IF(OR(B293="",G293=""),"",G293-J293)</f>
        <v/>
      </c>
      <c r="L293" s="15" t="str">
        <f aca="false">IF(K293="","",IF(K293&gt;0,"À appeler",IF(K293=0,"Réservé","Trop réservé")))</f>
        <v/>
      </c>
      <c r="M293" s="11"/>
    </row>
    <row r="294" customFormat="false" ht="15" hidden="false" customHeight="false" outlineLevel="0" collapsed="false">
      <c r="A294" s="10"/>
      <c r="B294" s="11"/>
      <c r="C294" s="11"/>
      <c r="D294" s="11"/>
      <c r="E294" s="11"/>
      <c r="F294" s="11"/>
      <c r="G294" s="12"/>
      <c r="H294" s="13" t="str">
        <f aca="false">IF(F294="","",IFERROR(INDEX(Tarifs!$B$2:$B$9,MATCH(F294,Tarifs!$A$2:$A$9,0)),""))</f>
        <v/>
      </c>
      <c r="I294" s="13" t="str">
        <f aca="false">IF(OR(G294="",H294=""),"",G294*H294*(1-IF(G294&gt;=Tarifs!$A$17,Tarifs!$B$17,IF(G294&gt;=Tarifs!$A$16,Tarifs!$B$16,0))))</f>
        <v/>
      </c>
      <c r="J294" s="14" t="str">
        <f aca="false">IF(B294="","",SUMIFS(Reservations!$G:$G,Reservations!$B:$B,B294))</f>
        <v/>
      </c>
      <c r="K294" s="14" t="str">
        <f aca="false">IF(OR(B294="",G294=""),"",G294-J294)</f>
        <v/>
      </c>
      <c r="L294" s="15" t="str">
        <f aca="false">IF(K294="","",IF(K294&gt;0,"À appeler",IF(K294=0,"Réservé","Trop réservé")))</f>
        <v/>
      </c>
      <c r="M294" s="11"/>
    </row>
    <row r="295" customFormat="false" ht="15" hidden="false" customHeight="false" outlineLevel="0" collapsed="false">
      <c r="A295" s="10"/>
      <c r="B295" s="11"/>
      <c r="C295" s="11"/>
      <c r="D295" s="11"/>
      <c r="E295" s="11"/>
      <c r="F295" s="11"/>
      <c r="G295" s="12"/>
      <c r="H295" s="13" t="str">
        <f aca="false">IF(F295="","",IFERROR(INDEX(Tarifs!$B$2:$B$9,MATCH(F295,Tarifs!$A$2:$A$9,0)),""))</f>
        <v/>
      </c>
      <c r="I295" s="13" t="str">
        <f aca="false">IF(OR(G295="",H295=""),"",G295*H295*(1-IF(G295&gt;=Tarifs!$A$17,Tarifs!$B$17,IF(G295&gt;=Tarifs!$A$16,Tarifs!$B$16,0))))</f>
        <v/>
      </c>
      <c r="J295" s="14" t="str">
        <f aca="false">IF(B295="","",SUMIFS(Reservations!$G:$G,Reservations!$B:$B,B295))</f>
        <v/>
      </c>
      <c r="K295" s="14" t="str">
        <f aca="false">IF(OR(B295="",G295=""),"",G295-J295)</f>
        <v/>
      </c>
      <c r="L295" s="15" t="str">
        <f aca="false">IF(K295="","",IF(K295&gt;0,"À appeler",IF(K295=0,"Réservé","Trop réservé")))</f>
        <v/>
      </c>
      <c r="M295" s="11"/>
    </row>
    <row r="296" customFormat="false" ht="15" hidden="false" customHeight="false" outlineLevel="0" collapsed="false">
      <c r="A296" s="10"/>
      <c r="B296" s="11"/>
      <c r="C296" s="11"/>
      <c r="D296" s="11"/>
      <c r="E296" s="11"/>
      <c r="F296" s="11"/>
      <c r="G296" s="12"/>
      <c r="H296" s="13" t="str">
        <f aca="false">IF(F296="","",IFERROR(INDEX(Tarifs!$B$2:$B$9,MATCH(F296,Tarifs!$A$2:$A$9,0)),""))</f>
        <v/>
      </c>
      <c r="I296" s="13" t="str">
        <f aca="false">IF(OR(G296="",H296=""),"",G296*H296*(1-IF(G296&gt;=Tarifs!$A$17,Tarifs!$B$17,IF(G296&gt;=Tarifs!$A$16,Tarifs!$B$16,0))))</f>
        <v/>
      </c>
      <c r="J296" s="14" t="str">
        <f aca="false">IF(B296="","",SUMIFS(Reservations!$G:$G,Reservations!$B:$B,B296))</f>
        <v/>
      </c>
      <c r="K296" s="14" t="str">
        <f aca="false">IF(OR(B296="",G296=""),"",G296-J296)</f>
        <v/>
      </c>
      <c r="L296" s="15" t="str">
        <f aca="false">IF(K296="","",IF(K296&gt;0,"À appeler",IF(K296=0,"Réservé","Trop réservé")))</f>
        <v/>
      </c>
      <c r="M296" s="11"/>
    </row>
    <row r="297" customFormat="false" ht="15" hidden="false" customHeight="false" outlineLevel="0" collapsed="false">
      <c r="A297" s="10"/>
      <c r="B297" s="11"/>
      <c r="C297" s="11"/>
      <c r="D297" s="11"/>
      <c r="E297" s="11"/>
      <c r="F297" s="11"/>
      <c r="G297" s="12"/>
      <c r="H297" s="13" t="str">
        <f aca="false">IF(F297="","",IFERROR(INDEX(Tarifs!$B$2:$B$9,MATCH(F297,Tarifs!$A$2:$A$9,0)),""))</f>
        <v/>
      </c>
      <c r="I297" s="13" t="str">
        <f aca="false">IF(OR(G297="",H297=""),"",G297*H297*(1-IF(G297&gt;=Tarifs!$A$17,Tarifs!$B$17,IF(G297&gt;=Tarifs!$A$16,Tarifs!$B$16,0))))</f>
        <v/>
      </c>
      <c r="J297" s="14" t="str">
        <f aca="false">IF(B297="","",SUMIFS(Reservations!$G:$G,Reservations!$B:$B,B297))</f>
        <v/>
      </c>
      <c r="K297" s="14" t="str">
        <f aca="false">IF(OR(B297="",G297=""),"",G297-J297)</f>
        <v/>
      </c>
      <c r="L297" s="15" t="str">
        <f aca="false">IF(K297="","",IF(K297&gt;0,"À appeler",IF(K297=0,"Réservé","Trop réservé")))</f>
        <v/>
      </c>
      <c r="M297" s="11"/>
    </row>
    <row r="298" customFormat="false" ht="15" hidden="false" customHeight="false" outlineLevel="0" collapsed="false">
      <c r="A298" s="10"/>
      <c r="B298" s="11"/>
      <c r="C298" s="11"/>
      <c r="D298" s="11"/>
      <c r="E298" s="11"/>
      <c r="F298" s="11"/>
      <c r="G298" s="12"/>
      <c r="H298" s="13" t="str">
        <f aca="false">IF(F298="","",IFERROR(INDEX(Tarifs!$B$2:$B$9,MATCH(F298,Tarifs!$A$2:$A$9,0)),""))</f>
        <v/>
      </c>
      <c r="I298" s="13" t="str">
        <f aca="false">IF(OR(G298="",H298=""),"",G298*H298*(1-IF(G298&gt;=Tarifs!$A$17,Tarifs!$B$17,IF(G298&gt;=Tarifs!$A$16,Tarifs!$B$16,0))))</f>
        <v/>
      </c>
      <c r="J298" s="14" t="str">
        <f aca="false">IF(B298="","",SUMIFS(Reservations!$G:$G,Reservations!$B:$B,B298))</f>
        <v/>
      </c>
      <c r="K298" s="14" t="str">
        <f aca="false">IF(OR(B298="",G298=""),"",G298-J298)</f>
        <v/>
      </c>
      <c r="L298" s="15" t="str">
        <f aca="false">IF(K298="","",IF(K298&gt;0,"À appeler",IF(K298=0,"Réservé","Trop réservé")))</f>
        <v/>
      </c>
      <c r="M298" s="11"/>
    </row>
    <row r="299" customFormat="false" ht="15" hidden="false" customHeight="false" outlineLevel="0" collapsed="false">
      <c r="A299" s="10"/>
      <c r="B299" s="11"/>
      <c r="C299" s="11"/>
      <c r="D299" s="11"/>
      <c r="E299" s="11"/>
      <c r="F299" s="11"/>
      <c r="G299" s="12"/>
      <c r="H299" s="13" t="str">
        <f aca="false">IF(F299="","",IFERROR(INDEX(Tarifs!$B$2:$B$9,MATCH(F299,Tarifs!$A$2:$A$9,0)),""))</f>
        <v/>
      </c>
      <c r="I299" s="13" t="str">
        <f aca="false">IF(OR(G299="",H299=""),"",G299*H299*(1-IF(G299&gt;=Tarifs!$A$17,Tarifs!$B$17,IF(G299&gt;=Tarifs!$A$16,Tarifs!$B$16,0))))</f>
        <v/>
      </c>
      <c r="J299" s="14" t="str">
        <f aca="false">IF(B299="","",SUMIFS(Reservations!$G:$G,Reservations!$B:$B,B299))</f>
        <v/>
      </c>
      <c r="K299" s="14" t="str">
        <f aca="false">IF(OR(B299="",G299=""),"",G299-J299)</f>
        <v/>
      </c>
      <c r="L299" s="15" t="str">
        <f aca="false">IF(K299="","",IF(K299&gt;0,"À appeler",IF(K299=0,"Réservé","Trop réservé")))</f>
        <v/>
      </c>
      <c r="M299" s="11"/>
    </row>
    <row r="300" customFormat="false" ht="15" hidden="false" customHeight="false" outlineLevel="0" collapsed="false">
      <c r="A300" s="10"/>
      <c r="B300" s="11"/>
      <c r="C300" s="11"/>
      <c r="D300" s="11"/>
      <c r="E300" s="11"/>
      <c r="F300" s="11"/>
      <c r="G300" s="12"/>
      <c r="H300" s="13" t="str">
        <f aca="false">IF(F300="","",IFERROR(INDEX(Tarifs!$B$2:$B$9,MATCH(F300,Tarifs!$A$2:$A$9,0)),""))</f>
        <v/>
      </c>
      <c r="I300" s="13" t="str">
        <f aca="false">IF(OR(G300="",H300=""),"",G300*H300*(1-IF(G300&gt;=Tarifs!$A$17,Tarifs!$B$17,IF(G300&gt;=Tarifs!$A$16,Tarifs!$B$16,0))))</f>
        <v/>
      </c>
      <c r="J300" s="14" t="str">
        <f aca="false">IF(B300="","",SUMIFS(Reservations!$G:$G,Reservations!$B:$B,B300))</f>
        <v/>
      </c>
      <c r="K300" s="14" t="str">
        <f aca="false">IF(OR(B300="",G300=""),"",G300-J300)</f>
        <v/>
      </c>
      <c r="L300" s="15" t="str">
        <f aca="false">IF(K300="","",IF(K300&gt;0,"À appeler",IF(K300=0,"Réservé","Trop réservé")))</f>
        <v/>
      </c>
      <c r="M300" s="11"/>
    </row>
    <row r="301" customFormat="false" ht="15" hidden="false" customHeight="false" outlineLevel="0" collapsed="false">
      <c r="A301" s="10"/>
      <c r="B301" s="11"/>
      <c r="C301" s="11"/>
      <c r="D301" s="11"/>
      <c r="E301" s="11"/>
      <c r="F301" s="11"/>
      <c r="G301" s="12"/>
      <c r="H301" s="13" t="str">
        <f aca="false">IF(F301="","",IFERROR(INDEX(Tarifs!$B$2:$B$9,MATCH(F301,Tarifs!$A$2:$A$9,0)),""))</f>
        <v/>
      </c>
      <c r="I301" s="13" t="str">
        <f aca="false">IF(OR(G301="",H301=""),"",G301*H301*(1-IF(G301&gt;=Tarifs!$A$17,Tarifs!$B$17,IF(G301&gt;=Tarifs!$A$16,Tarifs!$B$16,0))))</f>
        <v/>
      </c>
      <c r="J301" s="14" t="str">
        <f aca="false">IF(B301="","",SUMIFS(Reservations!$G:$G,Reservations!$B:$B,B301))</f>
        <v/>
      </c>
      <c r="K301" s="14" t="str">
        <f aca="false">IF(OR(B301="",G301=""),"",G301-J301)</f>
        <v/>
      </c>
      <c r="L301" s="15" t="str">
        <f aca="false">IF(K301="","",IF(K301&gt;0,"À appeler",IF(K301=0,"Réservé","Trop réservé")))</f>
        <v/>
      </c>
      <c r="M301" s="11"/>
    </row>
  </sheetData>
  <autoFilter ref="A1:M301"/>
  <conditionalFormatting sqref="A2:M301">
    <cfRule type="expression" priority="2" aboveAverage="0" equalAverage="0" bottom="0" percent="0" rank="0" text="" dxfId="7">
      <formula>$L2="À appeler"</formula>
    </cfRule>
    <cfRule type="expression" priority="3" aboveAverage="0" equalAverage="0" bottom="0" percent="0" rank="0" text="" dxfId="8">
      <formula>$L2="Réservé"</formula>
    </cfRule>
    <cfRule type="expression" priority="4" aboveAverage="0" equalAverage="0" bottom="0" percent="0" rank="0" text="" dxfId="9">
      <formula>$L2="Trop réservé"</formula>
    </cfRule>
  </conditionalFormatting>
  <dataValidations count="2">
    <dataValidation allowBlank="true" errorStyle="stop" operator="between" showDropDown="false" showErrorMessage="false" showInputMessage="false" sqref="F2:F301" type="list">
      <formula1>Tarifs!$A$2:$A$9</formula1>
      <formula2>0</formula2>
    </dataValidation>
    <dataValidation allowBlank="true" error="Nombre de places entre 1 et 50" errorStyle="stop" operator="between" showDropDown="false" showErrorMessage="true" showInputMessage="false" sqref="G2:G301" type="whole">
      <formula1>1</formula1>
      <formula2>50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8" min="6" style="0" width="11"/>
    <col collapsed="false" customWidth="true" hidden="false" outlineLevel="0" max="9" min="9" style="0" width="30"/>
  </cols>
  <sheetData>
    <row r="1" customFormat="false" ht="33.75" hidden="false" customHeight="true" outlineLevel="0" collapsed="false">
      <c r="A1" s="3" t="s">
        <v>45</v>
      </c>
      <c r="B1" s="3" t="s">
        <v>46</v>
      </c>
      <c r="C1" s="3" t="s">
        <v>12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</row>
    <row r="2" customFormat="false" ht="15" hidden="false" customHeight="false" outlineLevel="0" collapsed="false">
      <c r="A2" s="10" t="n">
        <v>46319</v>
      </c>
      <c r="B2" s="16" t="n">
        <v>0.75</v>
      </c>
      <c r="C2" s="11" t="s">
        <v>15</v>
      </c>
      <c r="D2" s="11" t="s">
        <v>53</v>
      </c>
      <c r="E2" s="12" t="n">
        <v>6</v>
      </c>
      <c r="F2" s="14" t="n">
        <f aca="false">IF(A2="","",SUMIFS(Reservations!$G:$G,Reservations!$E:$E,A2,Reservations!$F:$F,B2,Reservations!$D:$D,C2))</f>
        <v>2</v>
      </c>
      <c r="G2" s="14" t="n">
        <f aca="false">IF(OR(A2="",E2=""),"",E2-F2)</f>
        <v>4</v>
      </c>
      <c r="H2" s="15" t="str">
        <f aca="false">IF(G2="","",IF(G2&lt;0,"Surbooké",IF(G2=0,"Complet","Ouvert")))</f>
        <v>Ouvert</v>
      </c>
      <c r="I2" s="11" t="s">
        <v>44</v>
      </c>
    </row>
    <row r="3" customFormat="false" ht="15" hidden="false" customHeight="false" outlineLevel="0" collapsed="false">
      <c r="A3" s="10"/>
      <c r="B3" s="16"/>
      <c r="C3" s="11"/>
      <c r="D3" s="11"/>
      <c r="E3" s="12"/>
      <c r="F3" s="14" t="str">
        <f aca="false">IF(A3="","",SUMIFS(Reservations!$G:$G,Reservations!$E:$E,A3,Reservations!$F:$F,B3,Reservations!$D:$D,C3))</f>
        <v/>
      </c>
      <c r="G3" s="14" t="str">
        <f aca="false">IF(OR(A3="",E3=""),"",E3-F3)</f>
        <v/>
      </c>
      <c r="H3" s="15" t="str">
        <f aca="false">IF(G3="","",IF(G3&lt;0,"Surbooké",IF(G3=0,"Complet","Ouvert")))</f>
        <v/>
      </c>
      <c r="I3" s="11"/>
    </row>
    <row r="4" customFormat="false" ht="15" hidden="false" customHeight="false" outlineLevel="0" collapsed="false">
      <c r="A4" s="10"/>
      <c r="B4" s="16"/>
      <c r="C4" s="11"/>
      <c r="D4" s="11"/>
      <c r="E4" s="12"/>
      <c r="F4" s="14" t="str">
        <f aca="false">IF(A4="","",SUMIFS(Reservations!$G:$G,Reservations!$E:$E,A4,Reservations!$F:$F,B4,Reservations!$D:$D,C4))</f>
        <v/>
      </c>
      <c r="G4" s="14" t="str">
        <f aca="false">IF(OR(A4="",E4=""),"",E4-F4)</f>
        <v/>
      </c>
      <c r="H4" s="15" t="str">
        <f aca="false">IF(G4="","",IF(G4&lt;0,"Surbooké",IF(G4=0,"Complet","Ouvert")))</f>
        <v/>
      </c>
      <c r="I4" s="11"/>
    </row>
    <row r="5" customFormat="false" ht="15" hidden="false" customHeight="false" outlineLevel="0" collapsed="false">
      <c r="A5" s="10"/>
      <c r="B5" s="16"/>
      <c r="C5" s="11"/>
      <c r="D5" s="11"/>
      <c r="E5" s="12"/>
      <c r="F5" s="14" t="str">
        <f aca="false">IF(A5="","",SUMIFS(Reservations!$G:$G,Reservations!$E:$E,A5,Reservations!$F:$F,B5,Reservations!$D:$D,C5))</f>
        <v/>
      </c>
      <c r="G5" s="14" t="str">
        <f aca="false">IF(OR(A5="",E5=""),"",E5-F5)</f>
        <v/>
      </c>
      <c r="H5" s="15" t="str">
        <f aca="false">IF(G5="","",IF(G5&lt;0,"Surbooké",IF(G5=0,"Complet","Ouvert")))</f>
        <v/>
      </c>
      <c r="I5" s="11"/>
    </row>
    <row r="6" customFormat="false" ht="15" hidden="false" customHeight="false" outlineLevel="0" collapsed="false">
      <c r="A6" s="10"/>
      <c r="B6" s="16"/>
      <c r="C6" s="11"/>
      <c r="D6" s="11"/>
      <c r="E6" s="12"/>
      <c r="F6" s="14" t="str">
        <f aca="false">IF(A6="","",SUMIFS(Reservations!$G:$G,Reservations!$E:$E,A6,Reservations!$F:$F,B6,Reservations!$D:$D,C6))</f>
        <v/>
      </c>
      <c r="G6" s="14" t="str">
        <f aca="false">IF(OR(A6="",E6=""),"",E6-F6)</f>
        <v/>
      </c>
      <c r="H6" s="15" t="str">
        <f aca="false">IF(G6="","",IF(G6&lt;0,"Surbooké",IF(G6=0,"Complet","Ouvert")))</f>
        <v/>
      </c>
      <c r="I6" s="11"/>
    </row>
    <row r="7" customFormat="false" ht="15" hidden="false" customHeight="false" outlineLevel="0" collapsed="false">
      <c r="A7" s="10"/>
      <c r="B7" s="16"/>
      <c r="C7" s="11"/>
      <c r="D7" s="11"/>
      <c r="E7" s="12"/>
      <c r="F7" s="14" t="str">
        <f aca="false">IF(A7="","",SUMIFS(Reservations!$G:$G,Reservations!$E:$E,A7,Reservations!$F:$F,B7,Reservations!$D:$D,C7))</f>
        <v/>
      </c>
      <c r="G7" s="14" t="str">
        <f aca="false">IF(OR(A7="",E7=""),"",E7-F7)</f>
        <v/>
      </c>
      <c r="H7" s="15" t="str">
        <f aca="false">IF(G7="","",IF(G7&lt;0,"Surbooké",IF(G7=0,"Complet","Ouvert")))</f>
        <v/>
      </c>
      <c r="I7" s="11"/>
    </row>
    <row r="8" customFormat="false" ht="15" hidden="false" customHeight="false" outlineLevel="0" collapsed="false">
      <c r="A8" s="10"/>
      <c r="B8" s="16"/>
      <c r="C8" s="11"/>
      <c r="D8" s="11"/>
      <c r="E8" s="12"/>
      <c r="F8" s="14" t="str">
        <f aca="false">IF(A8="","",SUMIFS(Reservations!$G:$G,Reservations!$E:$E,A8,Reservations!$F:$F,B8,Reservations!$D:$D,C8))</f>
        <v/>
      </c>
      <c r="G8" s="14" t="str">
        <f aca="false">IF(OR(A8="",E8=""),"",E8-F8)</f>
        <v/>
      </c>
      <c r="H8" s="15" t="str">
        <f aca="false">IF(G8="","",IF(G8&lt;0,"Surbooké",IF(G8=0,"Complet","Ouvert")))</f>
        <v/>
      </c>
      <c r="I8" s="11"/>
    </row>
    <row r="9" customFormat="false" ht="15" hidden="false" customHeight="false" outlineLevel="0" collapsed="false">
      <c r="A9" s="10"/>
      <c r="B9" s="16"/>
      <c r="C9" s="11"/>
      <c r="D9" s="11"/>
      <c r="E9" s="12"/>
      <c r="F9" s="14" t="str">
        <f aca="false">IF(A9="","",SUMIFS(Reservations!$G:$G,Reservations!$E:$E,A9,Reservations!$F:$F,B9,Reservations!$D:$D,C9))</f>
        <v/>
      </c>
      <c r="G9" s="14" t="str">
        <f aca="false">IF(OR(A9="",E9=""),"",E9-F9)</f>
        <v/>
      </c>
      <c r="H9" s="15" t="str">
        <f aca="false">IF(G9="","",IF(G9&lt;0,"Surbooké",IF(G9=0,"Complet","Ouvert")))</f>
        <v/>
      </c>
      <c r="I9" s="11"/>
    </row>
    <row r="10" customFormat="false" ht="15" hidden="false" customHeight="false" outlineLevel="0" collapsed="false">
      <c r="A10" s="10"/>
      <c r="B10" s="16"/>
      <c r="C10" s="11"/>
      <c r="D10" s="11"/>
      <c r="E10" s="12"/>
      <c r="F10" s="14" t="str">
        <f aca="false">IF(A10="","",SUMIFS(Reservations!$G:$G,Reservations!$E:$E,A10,Reservations!$F:$F,B10,Reservations!$D:$D,C10))</f>
        <v/>
      </c>
      <c r="G10" s="14" t="str">
        <f aca="false">IF(OR(A10="",E10=""),"",E10-F10)</f>
        <v/>
      </c>
      <c r="H10" s="15" t="str">
        <f aca="false">IF(G10="","",IF(G10&lt;0,"Surbooké",IF(G10=0,"Complet","Ouvert")))</f>
        <v/>
      </c>
      <c r="I10" s="11"/>
    </row>
    <row r="11" customFormat="false" ht="15" hidden="false" customHeight="false" outlineLevel="0" collapsed="false">
      <c r="A11" s="10"/>
      <c r="B11" s="16"/>
      <c r="C11" s="11"/>
      <c r="D11" s="11"/>
      <c r="E11" s="12"/>
      <c r="F11" s="14" t="str">
        <f aca="false">IF(A11="","",SUMIFS(Reservations!$G:$G,Reservations!$E:$E,A11,Reservations!$F:$F,B11,Reservations!$D:$D,C11))</f>
        <v/>
      </c>
      <c r="G11" s="14" t="str">
        <f aca="false">IF(OR(A11="",E11=""),"",E11-F11)</f>
        <v/>
      </c>
      <c r="H11" s="15" t="str">
        <f aca="false">IF(G11="","",IF(G11&lt;0,"Surbooké",IF(G11=0,"Complet","Ouvert")))</f>
        <v/>
      </c>
      <c r="I11" s="11"/>
    </row>
    <row r="12" customFormat="false" ht="15" hidden="false" customHeight="false" outlineLevel="0" collapsed="false">
      <c r="A12" s="10"/>
      <c r="B12" s="16"/>
      <c r="C12" s="11"/>
      <c r="D12" s="11"/>
      <c r="E12" s="12"/>
      <c r="F12" s="14" t="str">
        <f aca="false">IF(A12="","",SUMIFS(Reservations!$G:$G,Reservations!$E:$E,A12,Reservations!$F:$F,B12,Reservations!$D:$D,C12))</f>
        <v/>
      </c>
      <c r="G12" s="14" t="str">
        <f aca="false">IF(OR(A12="",E12=""),"",E12-F12)</f>
        <v/>
      </c>
      <c r="H12" s="15" t="str">
        <f aca="false">IF(G12="","",IF(G12&lt;0,"Surbooké",IF(G12=0,"Complet","Ouvert")))</f>
        <v/>
      </c>
      <c r="I12" s="11"/>
    </row>
    <row r="13" customFormat="false" ht="15" hidden="false" customHeight="false" outlineLevel="0" collapsed="false">
      <c r="A13" s="10"/>
      <c r="B13" s="16"/>
      <c r="C13" s="11"/>
      <c r="D13" s="11"/>
      <c r="E13" s="12"/>
      <c r="F13" s="14" t="str">
        <f aca="false">IF(A13="","",SUMIFS(Reservations!$G:$G,Reservations!$E:$E,A13,Reservations!$F:$F,B13,Reservations!$D:$D,C13))</f>
        <v/>
      </c>
      <c r="G13" s="14" t="str">
        <f aca="false">IF(OR(A13="",E13=""),"",E13-F13)</f>
        <v/>
      </c>
      <c r="H13" s="15" t="str">
        <f aca="false">IF(G13="","",IF(G13&lt;0,"Surbooké",IF(G13=0,"Complet","Ouvert")))</f>
        <v/>
      </c>
      <c r="I13" s="11"/>
    </row>
    <row r="14" customFormat="false" ht="15" hidden="false" customHeight="false" outlineLevel="0" collapsed="false">
      <c r="A14" s="10"/>
      <c r="B14" s="16"/>
      <c r="C14" s="11"/>
      <c r="D14" s="11"/>
      <c r="E14" s="12"/>
      <c r="F14" s="14" t="str">
        <f aca="false">IF(A14="","",SUMIFS(Reservations!$G:$G,Reservations!$E:$E,A14,Reservations!$F:$F,B14,Reservations!$D:$D,C14))</f>
        <v/>
      </c>
      <c r="G14" s="14" t="str">
        <f aca="false">IF(OR(A14="",E14=""),"",E14-F14)</f>
        <v/>
      </c>
      <c r="H14" s="15" t="str">
        <f aca="false">IF(G14="","",IF(G14&lt;0,"Surbooké",IF(G14=0,"Complet","Ouvert")))</f>
        <v/>
      </c>
      <c r="I14" s="11"/>
    </row>
    <row r="15" customFormat="false" ht="15" hidden="false" customHeight="false" outlineLevel="0" collapsed="false">
      <c r="A15" s="10"/>
      <c r="B15" s="16"/>
      <c r="C15" s="11"/>
      <c r="D15" s="11"/>
      <c r="E15" s="12"/>
      <c r="F15" s="14" t="str">
        <f aca="false">IF(A15="","",SUMIFS(Reservations!$G:$G,Reservations!$E:$E,A15,Reservations!$F:$F,B15,Reservations!$D:$D,C15))</f>
        <v/>
      </c>
      <c r="G15" s="14" t="str">
        <f aca="false">IF(OR(A15="",E15=""),"",E15-F15)</f>
        <v/>
      </c>
      <c r="H15" s="15" t="str">
        <f aca="false">IF(G15="","",IF(G15&lt;0,"Surbooké",IF(G15=0,"Complet","Ouvert")))</f>
        <v/>
      </c>
      <c r="I15" s="11"/>
    </row>
    <row r="16" customFormat="false" ht="15" hidden="false" customHeight="false" outlineLevel="0" collapsed="false">
      <c r="A16" s="10"/>
      <c r="B16" s="16"/>
      <c r="C16" s="11"/>
      <c r="D16" s="11"/>
      <c r="E16" s="12"/>
      <c r="F16" s="14" t="str">
        <f aca="false">IF(A16="","",SUMIFS(Reservations!$G:$G,Reservations!$E:$E,A16,Reservations!$F:$F,B16,Reservations!$D:$D,C16))</f>
        <v/>
      </c>
      <c r="G16" s="14" t="str">
        <f aca="false">IF(OR(A16="",E16=""),"",E16-F16)</f>
        <v/>
      </c>
      <c r="H16" s="15" t="str">
        <f aca="false">IF(G16="","",IF(G16&lt;0,"Surbooké",IF(G16=0,"Complet","Ouvert")))</f>
        <v/>
      </c>
      <c r="I16" s="11"/>
    </row>
    <row r="17" customFormat="false" ht="15" hidden="false" customHeight="false" outlineLevel="0" collapsed="false">
      <c r="A17" s="10"/>
      <c r="B17" s="16"/>
      <c r="C17" s="11"/>
      <c r="D17" s="11"/>
      <c r="E17" s="12"/>
      <c r="F17" s="14" t="str">
        <f aca="false">IF(A17="","",SUMIFS(Reservations!$G:$G,Reservations!$E:$E,A17,Reservations!$F:$F,B17,Reservations!$D:$D,C17))</f>
        <v/>
      </c>
      <c r="G17" s="14" t="str">
        <f aca="false">IF(OR(A17="",E17=""),"",E17-F17)</f>
        <v/>
      </c>
      <c r="H17" s="15" t="str">
        <f aca="false">IF(G17="","",IF(G17&lt;0,"Surbooké",IF(G17=0,"Complet","Ouvert")))</f>
        <v/>
      </c>
      <c r="I17" s="11"/>
    </row>
    <row r="18" customFormat="false" ht="15" hidden="false" customHeight="false" outlineLevel="0" collapsed="false">
      <c r="A18" s="10"/>
      <c r="B18" s="16"/>
      <c r="C18" s="11"/>
      <c r="D18" s="11"/>
      <c r="E18" s="12"/>
      <c r="F18" s="14" t="str">
        <f aca="false">IF(A18="","",SUMIFS(Reservations!$G:$G,Reservations!$E:$E,A18,Reservations!$F:$F,B18,Reservations!$D:$D,C18))</f>
        <v/>
      </c>
      <c r="G18" s="14" t="str">
        <f aca="false">IF(OR(A18="",E18=""),"",E18-F18)</f>
        <v/>
      </c>
      <c r="H18" s="15" t="str">
        <f aca="false">IF(G18="","",IF(G18&lt;0,"Surbooké",IF(G18=0,"Complet","Ouvert")))</f>
        <v/>
      </c>
      <c r="I18" s="11"/>
    </row>
    <row r="19" customFormat="false" ht="15" hidden="false" customHeight="false" outlineLevel="0" collapsed="false">
      <c r="A19" s="10"/>
      <c r="B19" s="16"/>
      <c r="C19" s="11"/>
      <c r="D19" s="11"/>
      <c r="E19" s="12"/>
      <c r="F19" s="14" t="str">
        <f aca="false">IF(A19="","",SUMIFS(Reservations!$G:$G,Reservations!$E:$E,A19,Reservations!$F:$F,B19,Reservations!$D:$D,C19))</f>
        <v/>
      </c>
      <c r="G19" s="14" t="str">
        <f aca="false">IF(OR(A19="",E19=""),"",E19-F19)</f>
        <v/>
      </c>
      <c r="H19" s="15" t="str">
        <f aca="false">IF(G19="","",IF(G19&lt;0,"Surbooké",IF(G19=0,"Complet","Ouvert")))</f>
        <v/>
      </c>
      <c r="I19" s="11"/>
    </row>
    <row r="20" customFormat="false" ht="15" hidden="false" customHeight="false" outlineLevel="0" collapsed="false">
      <c r="A20" s="10"/>
      <c r="B20" s="16"/>
      <c r="C20" s="11"/>
      <c r="D20" s="11"/>
      <c r="E20" s="12"/>
      <c r="F20" s="14" t="str">
        <f aca="false">IF(A20="","",SUMIFS(Reservations!$G:$G,Reservations!$E:$E,A20,Reservations!$F:$F,B20,Reservations!$D:$D,C20))</f>
        <v/>
      </c>
      <c r="G20" s="14" t="str">
        <f aca="false">IF(OR(A20="",E20=""),"",E20-F20)</f>
        <v/>
      </c>
      <c r="H20" s="15" t="str">
        <f aca="false">IF(G20="","",IF(G20&lt;0,"Surbooké",IF(G20=0,"Complet","Ouvert")))</f>
        <v/>
      </c>
      <c r="I20" s="11"/>
    </row>
    <row r="21" customFormat="false" ht="15" hidden="false" customHeight="false" outlineLevel="0" collapsed="false">
      <c r="A21" s="10"/>
      <c r="B21" s="16"/>
      <c r="C21" s="11"/>
      <c r="D21" s="11"/>
      <c r="E21" s="12"/>
      <c r="F21" s="14" t="str">
        <f aca="false">IF(A21="","",SUMIFS(Reservations!$G:$G,Reservations!$E:$E,A21,Reservations!$F:$F,B21,Reservations!$D:$D,C21))</f>
        <v/>
      </c>
      <c r="G21" s="14" t="str">
        <f aca="false">IF(OR(A21="",E21=""),"",E21-F21)</f>
        <v/>
      </c>
      <c r="H21" s="15" t="str">
        <f aca="false">IF(G21="","",IF(G21&lt;0,"Surbooké",IF(G21=0,"Complet","Ouvert")))</f>
        <v/>
      </c>
      <c r="I21" s="11"/>
    </row>
    <row r="22" customFormat="false" ht="15" hidden="false" customHeight="false" outlineLevel="0" collapsed="false">
      <c r="A22" s="10"/>
      <c r="B22" s="16"/>
      <c r="C22" s="11"/>
      <c r="D22" s="11"/>
      <c r="E22" s="12"/>
      <c r="F22" s="14" t="str">
        <f aca="false">IF(A22="","",SUMIFS(Reservations!$G:$G,Reservations!$E:$E,A22,Reservations!$F:$F,B22,Reservations!$D:$D,C22))</f>
        <v/>
      </c>
      <c r="G22" s="14" t="str">
        <f aca="false">IF(OR(A22="",E22=""),"",E22-F22)</f>
        <v/>
      </c>
      <c r="H22" s="15" t="str">
        <f aca="false">IF(G22="","",IF(G22&lt;0,"Surbooké",IF(G22=0,"Complet","Ouvert")))</f>
        <v/>
      </c>
      <c r="I22" s="11"/>
    </row>
    <row r="23" customFormat="false" ht="15" hidden="false" customHeight="false" outlineLevel="0" collapsed="false">
      <c r="A23" s="10"/>
      <c r="B23" s="16"/>
      <c r="C23" s="11"/>
      <c r="D23" s="11"/>
      <c r="E23" s="12"/>
      <c r="F23" s="14" t="str">
        <f aca="false">IF(A23="","",SUMIFS(Reservations!$G:$G,Reservations!$E:$E,A23,Reservations!$F:$F,B23,Reservations!$D:$D,C23))</f>
        <v/>
      </c>
      <c r="G23" s="14" t="str">
        <f aca="false">IF(OR(A23="",E23=""),"",E23-F23)</f>
        <v/>
      </c>
      <c r="H23" s="15" t="str">
        <f aca="false">IF(G23="","",IF(G23&lt;0,"Surbooké",IF(G23=0,"Complet","Ouvert")))</f>
        <v/>
      </c>
      <c r="I23" s="11"/>
    </row>
    <row r="24" customFormat="false" ht="15" hidden="false" customHeight="false" outlineLevel="0" collapsed="false">
      <c r="A24" s="10"/>
      <c r="B24" s="16"/>
      <c r="C24" s="11"/>
      <c r="D24" s="11"/>
      <c r="E24" s="12"/>
      <c r="F24" s="14" t="str">
        <f aca="false">IF(A24="","",SUMIFS(Reservations!$G:$G,Reservations!$E:$E,A24,Reservations!$F:$F,B24,Reservations!$D:$D,C24))</f>
        <v/>
      </c>
      <c r="G24" s="14" t="str">
        <f aca="false">IF(OR(A24="",E24=""),"",E24-F24)</f>
        <v/>
      </c>
      <c r="H24" s="15" t="str">
        <f aca="false">IF(G24="","",IF(G24&lt;0,"Surbooké",IF(G24=0,"Complet","Ouvert")))</f>
        <v/>
      </c>
      <c r="I24" s="11"/>
    </row>
    <row r="25" customFormat="false" ht="15" hidden="false" customHeight="false" outlineLevel="0" collapsed="false">
      <c r="A25" s="10"/>
      <c r="B25" s="16"/>
      <c r="C25" s="11"/>
      <c r="D25" s="11"/>
      <c r="E25" s="12"/>
      <c r="F25" s="14" t="str">
        <f aca="false">IF(A25="","",SUMIFS(Reservations!$G:$G,Reservations!$E:$E,A25,Reservations!$F:$F,B25,Reservations!$D:$D,C25))</f>
        <v/>
      </c>
      <c r="G25" s="14" t="str">
        <f aca="false">IF(OR(A25="",E25=""),"",E25-F25)</f>
        <v/>
      </c>
      <c r="H25" s="15" t="str">
        <f aca="false">IF(G25="","",IF(G25&lt;0,"Surbooké",IF(G25=0,"Complet","Ouvert")))</f>
        <v/>
      </c>
      <c r="I25" s="11"/>
    </row>
    <row r="26" customFormat="false" ht="15" hidden="false" customHeight="false" outlineLevel="0" collapsed="false">
      <c r="A26" s="10"/>
      <c r="B26" s="16"/>
      <c r="C26" s="11"/>
      <c r="D26" s="11"/>
      <c r="E26" s="12"/>
      <c r="F26" s="14" t="str">
        <f aca="false">IF(A26="","",SUMIFS(Reservations!$G:$G,Reservations!$E:$E,A26,Reservations!$F:$F,B26,Reservations!$D:$D,C26))</f>
        <v/>
      </c>
      <c r="G26" s="14" t="str">
        <f aca="false">IF(OR(A26="",E26=""),"",E26-F26)</f>
        <v/>
      </c>
      <c r="H26" s="15" t="str">
        <f aca="false">IF(G26="","",IF(G26&lt;0,"Surbooké",IF(G26=0,"Complet","Ouvert")))</f>
        <v/>
      </c>
      <c r="I26" s="11"/>
    </row>
    <row r="27" customFormat="false" ht="15" hidden="false" customHeight="false" outlineLevel="0" collapsed="false">
      <c r="A27" s="10"/>
      <c r="B27" s="16"/>
      <c r="C27" s="11"/>
      <c r="D27" s="11"/>
      <c r="E27" s="12"/>
      <c r="F27" s="14" t="str">
        <f aca="false">IF(A27="","",SUMIFS(Reservations!$G:$G,Reservations!$E:$E,A27,Reservations!$F:$F,B27,Reservations!$D:$D,C27))</f>
        <v/>
      </c>
      <c r="G27" s="14" t="str">
        <f aca="false">IF(OR(A27="",E27=""),"",E27-F27)</f>
        <v/>
      </c>
      <c r="H27" s="15" t="str">
        <f aca="false">IF(G27="","",IF(G27&lt;0,"Surbooké",IF(G27=0,"Complet","Ouvert")))</f>
        <v/>
      </c>
      <c r="I27" s="11"/>
    </row>
    <row r="28" customFormat="false" ht="15" hidden="false" customHeight="false" outlineLevel="0" collapsed="false">
      <c r="A28" s="10"/>
      <c r="B28" s="16"/>
      <c r="C28" s="11"/>
      <c r="D28" s="11"/>
      <c r="E28" s="12"/>
      <c r="F28" s="14" t="str">
        <f aca="false">IF(A28="","",SUMIFS(Reservations!$G:$G,Reservations!$E:$E,A28,Reservations!$F:$F,B28,Reservations!$D:$D,C28))</f>
        <v/>
      </c>
      <c r="G28" s="14" t="str">
        <f aca="false">IF(OR(A28="",E28=""),"",E28-F28)</f>
        <v/>
      </c>
      <c r="H28" s="15" t="str">
        <f aca="false">IF(G28="","",IF(G28&lt;0,"Surbooké",IF(G28=0,"Complet","Ouvert")))</f>
        <v/>
      </c>
      <c r="I28" s="11"/>
    </row>
    <row r="29" customFormat="false" ht="15" hidden="false" customHeight="false" outlineLevel="0" collapsed="false">
      <c r="A29" s="10"/>
      <c r="B29" s="16"/>
      <c r="C29" s="11"/>
      <c r="D29" s="11"/>
      <c r="E29" s="12"/>
      <c r="F29" s="14" t="str">
        <f aca="false">IF(A29="","",SUMIFS(Reservations!$G:$G,Reservations!$E:$E,A29,Reservations!$F:$F,B29,Reservations!$D:$D,C29))</f>
        <v/>
      </c>
      <c r="G29" s="14" t="str">
        <f aca="false">IF(OR(A29="",E29=""),"",E29-F29)</f>
        <v/>
      </c>
      <c r="H29" s="15" t="str">
        <f aca="false">IF(G29="","",IF(G29&lt;0,"Surbooké",IF(G29=0,"Complet","Ouvert")))</f>
        <v/>
      </c>
      <c r="I29" s="11"/>
    </row>
    <row r="30" customFormat="false" ht="15" hidden="false" customHeight="false" outlineLevel="0" collapsed="false">
      <c r="A30" s="10"/>
      <c r="B30" s="16"/>
      <c r="C30" s="11"/>
      <c r="D30" s="11"/>
      <c r="E30" s="12"/>
      <c r="F30" s="14" t="str">
        <f aca="false">IF(A30="","",SUMIFS(Reservations!$G:$G,Reservations!$E:$E,A30,Reservations!$F:$F,B30,Reservations!$D:$D,C30))</f>
        <v/>
      </c>
      <c r="G30" s="14" t="str">
        <f aca="false">IF(OR(A30="",E30=""),"",E30-F30)</f>
        <v/>
      </c>
      <c r="H30" s="15" t="str">
        <f aca="false">IF(G30="","",IF(G30&lt;0,"Surbooké",IF(G30=0,"Complet","Ouvert")))</f>
        <v/>
      </c>
      <c r="I30" s="11"/>
    </row>
    <row r="31" customFormat="false" ht="15" hidden="false" customHeight="false" outlineLevel="0" collapsed="false">
      <c r="A31" s="10"/>
      <c r="B31" s="16"/>
      <c r="C31" s="11"/>
      <c r="D31" s="11"/>
      <c r="E31" s="12"/>
      <c r="F31" s="14" t="str">
        <f aca="false">IF(A31="","",SUMIFS(Reservations!$G:$G,Reservations!$E:$E,A31,Reservations!$F:$F,B31,Reservations!$D:$D,C31))</f>
        <v/>
      </c>
      <c r="G31" s="14" t="str">
        <f aca="false">IF(OR(A31="",E31=""),"",E31-F31)</f>
        <v/>
      </c>
      <c r="H31" s="15" t="str">
        <f aca="false">IF(G31="","",IF(G31&lt;0,"Surbooké",IF(G31=0,"Complet","Ouvert")))</f>
        <v/>
      </c>
      <c r="I31" s="11"/>
    </row>
    <row r="32" customFormat="false" ht="15" hidden="false" customHeight="false" outlineLevel="0" collapsed="false">
      <c r="A32" s="10"/>
      <c r="B32" s="16"/>
      <c r="C32" s="11"/>
      <c r="D32" s="11"/>
      <c r="E32" s="12"/>
      <c r="F32" s="14" t="str">
        <f aca="false">IF(A32="","",SUMIFS(Reservations!$G:$G,Reservations!$E:$E,A32,Reservations!$F:$F,B32,Reservations!$D:$D,C32))</f>
        <v/>
      </c>
      <c r="G32" s="14" t="str">
        <f aca="false">IF(OR(A32="",E32=""),"",E32-F32)</f>
        <v/>
      </c>
      <c r="H32" s="15" t="str">
        <f aca="false">IF(G32="","",IF(G32&lt;0,"Surbooké",IF(G32=0,"Complet","Ouvert")))</f>
        <v/>
      </c>
      <c r="I32" s="11"/>
    </row>
    <row r="33" customFormat="false" ht="15" hidden="false" customHeight="false" outlineLevel="0" collapsed="false">
      <c r="A33" s="10"/>
      <c r="B33" s="16"/>
      <c r="C33" s="11"/>
      <c r="D33" s="11"/>
      <c r="E33" s="12"/>
      <c r="F33" s="14" t="str">
        <f aca="false">IF(A33="","",SUMIFS(Reservations!$G:$G,Reservations!$E:$E,A33,Reservations!$F:$F,B33,Reservations!$D:$D,C33))</f>
        <v/>
      </c>
      <c r="G33" s="14" t="str">
        <f aca="false">IF(OR(A33="",E33=""),"",E33-F33)</f>
        <v/>
      </c>
      <c r="H33" s="15" t="str">
        <f aca="false">IF(G33="","",IF(G33&lt;0,"Surbooké",IF(G33=0,"Complet","Ouvert")))</f>
        <v/>
      </c>
      <c r="I33" s="11"/>
    </row>
    <row r="34" customFormat="false" ht="15" hidden="false" customHeight="false" outlineLevel="0" collapsed="false">
      <c r="A34" s="10"/>
      <c r="B34" s="16"/>
      <c r="C34" s="11"/>
      <c r="D34" s="11"/>
      <c r="E34" s="12"/>
      <c r="F34" s="14" t="str">
        <f aca="false">IF(A34="","",SUMIFS(Reservations!$G:$G,Reservations!$E:$E,A34,Reservations!$F:$F,B34,Reservations!$D:$D,C34))</f>
        <v/>
      </c>
      <c r="G34" s="14" t="str">
        <f aca="false">IF(OR(A34="",E34=""),"",E34-F34)</f>
        <v/>
      </c>
      <c r="H34" s="15" t="str">
        <f aca="false">IF(G34="","",IF(G34&lt;0,"Surbooké",IF(G34=0,"Complet","Ouvert")))</f>
        <v/>
      </c>
      <c r="I34" s="11"/>
    </row>
    <row r="35" customFormat="false" ht="15" hidden="false" customHeight="false" outlineLevel="0" collapsed="false">
      <c r="A35" s="10"/>
      <c r="B35" s="16"/>
      <c r="C35" s="11"/>
      <c r="D35" s="11"/>
      <c r="E35" s="12"/>
      <c r="F35" s="14" t="str">
        <f aca="false">IF(A35="","",SUMIFS(Reservations!$G:$G,Reservations!$E:$E,A35,Reservations!$F:$F,B35,Reservations!$D:$D,C35))</f>
        <v/>
      </c>
      <c r="G35" s="14" t="str">
        <f aca="false">IF(OR(A35="",E35=""),"",E35-F35)</f>
        <v/>
      </c>
      <c r="H35" s="15" t="str">
        <f aca="false">IF(G35="","",IF(G35&lt;0,"Surbooké",IF(G35=0,"Complet","Ouvert")))</f>
        <v/>
      </c>
      <c r="I35" s="11"/>
    </row>
    <row r="36" customFormat="false" ht="15" hidden="false" customHeight="false" outlineLevel="0" collapsed="false">
      <c r="A36" s="10"/>
      <c r="B36" s="16"/>
      <c r="C36" s="11"/>
      <c r="D36" s="11"/>
      <c r="E36" s="12"/>
      <c r="F36" s="14" t="str">
        <f aca="false">IF(A36="","",SUMIFS(Reservations!$G:$G,Reservations!$E:$E,A36,Reservations!$F:$F,B36,Reservations!$D:$D,C36))</f>
        <v/>
      </c>
      <c r="G36" s="14" t="str">
        <f aca="false">IF(OR(A36="",E36=""),"",E36-F36)</f>
        <v/>
      </c>
      <c r="H36" s="15" t="str">
        <f aca="false">IF(G36="","",IF(G36&lt;0,"Surbooké",IF(G36=0,"Complet","Ouvert")))</f>
        <v/>
      </c>
      <c r="I36" s="11"/>
    </row>
    <row r="37" customFormat="false" ht="15" hidden="false" customHeight="false" outlineLevel="0" collapsed="false">
      <c r="A37" s="10"/>
      <c r="B37" s="16"/>
      <c r="C37" s="11"/>
      <c r="D37" s="11"/>
      <c r="E37" s="12"/>
      <c r="F37" s="14" t="str">
        <f aca="false">IF(A37="","",SUMIFS(Reservations!$G:$G,Reservations!$E:$E,A37,Reservations!$F:$F,B37,Reservations!$D:$D,C37))</f>
        <v/>
      </c>
      <c r="G37" s="14" t="str">
        <f aca="false">IF(OR(A37="",E37=""),"",E37-F37)</f>
        <v/>
      </c>
      <c r="H37" s="15" t="str">
        <f aca="false">IF(G37="","",IF(G37&lt;0,"Surbooké",IF(G37=0,"Complet","Ouvert")))</f>
        <v/>
      </c>
      <c r="I37" s="11"/>
    </row>
    <row r="38" customFormat="false" ht="15" hidden="false" customHeight="false" outlineLevel="0" collapsed="false">
      <c r="A38" s="10"/>
      <c r="B38" s="16"/>
      <c r="C38" s="11"/>
      <c r="D38" s="11"/>
      <c r="E38" s="12"/>
      <c r="F38" s="14" t="str">
        <f aca="false">IF(A38="","",SUMIFS(Reservations!$G:$G,Reservations!$E:$E,A38,Reservations!$F:$F,B38,Reservations!$D:$D,C38))</f>
        <v/>
      </c>
      <c r="G38" s="14" t="str">
        <f aca="false">IF(OR(A38="",E38=""),"",E38-F38)</f>
        <v/>
      </c>
      <c r="H38" s="15" t="str">
        <f aca="false">IF(G38="","",IF(G38&lt;0,"Surbooké",IF(G38=0,"Complet","Ouvert")))</f>
        <v/>
      </c>
      <c r="I38" s="11"/>
    </row>
    <row r="39" customFormat="false" ht="15" hidden="false" customHeight="false" outlineLevel="0" collapsed="false">
      <c r="A39" s="10"/>
      <c r="B39" s="16"/>
      <c r="C39" s="11"/>
      <c r="D39" s="11"/>
      <c r="E39" s="12"/>
      <c r="F39" s="14" t="str">
        <f aca="false">IF(A39="","",SUMIFS(Reservations!$G:$G,Reservations!$E:$E,A39,Reservations!$F:$F,B39,Reservations!$D:$D,C39))</f>
        <v/>
      </c>
      <c r="G39" s="14" t="str">
        <f aca="false">IF(OR(A39="",E39=""),"",E39-F39)</f>
        <v/>
      </c>
      <c r="H39" s="15" t="str">
        <f aca="false">IF(G39="","",IF(G39&lt;0,"Surbooké",IF(G39=0,"Complet","Ouvert")))</f>
        <v/>
      </c>
      <c r="I39" s="11"/>
    </row>
    <row r="40" customFormat="false" ht="15" hidden="false" customHeight="false" outlineLevel="0" collapsed="false">
      <c r="A40" s="10"/>
      <c r="B40" s="16"/>
      <c r="C40" s="11"/>
      <c r="D40" s="11"/>
      <c r="E40" s="12"/>
      <c r="F40" s="14" t="str">
        <f aca="false">IF(A40="","",SUMIFS(Reservations!$G:$G,Reservations!$E:$E,A40,Reservations!$F:$F,B40,Reservations!$D:$D,C40))</f>
        <v/>
      </c>
      <c r="G40" s="14" t="str">
        <f aca="false">IF(OR(A40="",E40=""),"",E40-F40)</f>
        <v/>
      </c>
      <c r="H40" s="15" t="str">
        <f aca="false">IF(G40="","",IF(G40&lt;0,"Surbooké",IF(G40=0,"Complet","Ouvert")))</f>
        <v/>
      </c>
      <c r="I40" s="11"/>
    </row>
    <row r="41" customFormat="false" ht="15" hidden="false" customHeight="false" outlineLevel="0" collapsed="false">
      <c r="A41" s="10"/>
      <c r="B41" s="16"/>
      <c r="C41" s="11"/>
      <c r="D41" s="11"/>
      <c r="E41" s="12"/>
      <c r="F41" s="14" t="str">
        <f aca="false">IF(A41="","",SUMIFS(Reservations!$G:$G,Reservations!$E:$E,A41,Reservations!$F:$F,B41,Reservations!$D:$D,C41))</f>
        <v/>
      </c>
      <c r="G41" s="14" t="str">
        <f aca="false">IF(OR(A41="",E41=""),"",E41-F41)</f>
        <v/>
      </c>
      <c r="H41" s="15" t="str">
        <f aca="false">IF(G41="","",IF(G41&lt;0,"Surbooké",IF(G41=0,"Complet","Ouvert")))</f>
        <v/>
      </c>
      <c r="I41" s="11"/>
    </row>
    <row r="42" customFormat="false" ht="15" hidden="false" customHeight="false" outlineLevel="0" collapsed="false">
      <c r="A42" s="10"/>
      <c r="B42" s="16"/>
      <c r="C42" s="11"/>
      <c r="D42" s="11"/>
      <c r="E42" s="12"/>
      <c r="F42" s="14" t="str">
        <f aca="false">IF(A42="","",SUMIFS(Reservations!$G:$G,Reservations!$E:$E,A42,Reservations!$F:$F,B42,Reservations!$D:$D,C42))</f>
        <v/>
      </c>
      <c r="G42" s="14" t="str">
        <f aca="false">IF(OR(A42="",E42=""),"",E42-F42)</f>
        <v/>
      </c>
      <c r="H42" s="15" t="str">
        <f aca="false">IF(G42="","",IF(G42&lt;0,"Surbooké",IF(G42=0,"Complet","Ouvert")))</f>
        <v/>
      </c>
      <c r="I42" s="11"/>
    </row>
    <row r="43" customFormat="false" ht="15" hidden="false" customHeight="false" outlineLevel="0" collapsed="false">
      <c r="A43" s="10"/>
      <c r="B43" s="16"/>
      <c r="C43" s="11"/>
      <c r="D43" s="11"/>
      <c r="E43" s="12"/>
      <c r="F43" s="14" t="str">
        <f aca="false">IF(A43="","",SUMIFS(Reservations!$G:$G,Reservations!$E:$E,A43,Reservations!$F:$F,B43,Reservations!$D:$D,C43))</f>
        <v/>
      </c>
      <c r="G43" s="14" t="str">
        <f aca="false">IF(OR(A43="",E43=""),"",E43-F43)</f>
        <v/>
      </c>
      <c r="H43" s="15" t="str">
        <f aca="false">IF(G43="","",IF(G43&lt;0,"Surbooké",IF(G43=0,"Complet","Ouvert")))</f>
        <v/>
      </c>
      <c r="I43" s="11"/>
    </row>
    <row r="44" customFormat="false" ht="15" hidden="false" customHeight="false" outlineLevel="0" collapsed="false">
      <c r="A44" s="10"/>
      <c r="B44" s="16"/>
      <c r="C44" s="11"/>
      <c r="D44" s="11"/>
      <c r="E44" s="12"/>
      <c r="F44" s="14" t="str">
        <f aca="false">IF(A44="","",SUMIFS(Reservations!$G:$G,Reservations!$E:$E,A44,Reservations!$F:$F,B44,Reservations!$D:$D,C44))</f>
        <v/>
      </c>
      <c r="G44" s="14" t="str">
        <f aca="false">IF(OR(A44="",E44=""),"",E44-F44)</f>
        <v/>
      </c>
      <c r="H44" s="15" t="str">
        <f aca="false">IF(G44="","",IF(G44&lt;0,"Surbooké",IF(G44=0,"Complet","Ouvert")))</f>
        <v/>
      </c>
      <c r="I44" s="11"/>
    </row>
    <row r="45" customFormat="false" ht="15" hidden="false" customHeight="false" outlineLevel="0" collapsed="false">
      <c r="A45" s="10"/>
      <c r="B45" s="16"/>
      <c r="C45" s="11"/>
      <c r="D45" s="11"/>
      <c r="E45" s="12"/>
      <c r="F45" s="14" t="str">
        <f aca="false">IF(A45="","",SUMIFS(Reservations!$G:$G,Reservations!$E:$E,A45,Reservations!$F:$F,B45,Reservations!$D:$D,C45))</f>
        <v/>
      </c>
      <c r="G45" s="14" t="str">
        <f aca="false">IF(OR(A45="",E45=""),"",E45-F45)</f>
        <v/>
      </c>
      <c r="H45" s="15" t="str">
        <f aca="false">IF(G45="","",IF(G45&lt;0,"Surbooké",IF(G45=0,"Complet","Ouvert")))</f>
        <v/>
      </c>
      <c r="I45" s="11"/>
    </row>
    <row r="46" customFormat="false" ht="15" hidden="false" customHeight="false" outlineLevel="0" collapsed="false">
      <c r="A46" s="10"/>
      <c r="B46" s="16"/>
      <c r="C46" s="11"/>
      <c r="D46" s="11"/>
      <c r="E46" s="12"/>
      <c r="F46" s="14" t="str">
        <f aca="false">IF(A46="","",SUMIFS(Reservations!$G:$G,Reservations!$E:$E,A46,Reservations!$F:$F,B46,Reservations!$D:$D,C46))</f>
        <v/>
      </c>
      <c r="G46" s="14" t="str">
        <f aca="false">IF(OR(A46="",E46=""),"",E46-F46)</f>
        <v/>
      </c>
      <c r="H46" s="15" t="str">
        <f aca="false">IF(G46="","",IF(G46&lt;0,"Surbooké",IF(G46=0,"Complet","Ouvert")))</f>
        <v/>
      </c>
      <c r="I46" s="11"/>
    </row>
    <row r="47" customFormat="false" ht="15" hidden="false" customHeight="false" outlineLevel="0" collapsed="false">
      <c r="A47" s="10"/>
      <c r="B47" s="16"/>
      <c r="C47" s="11"/>
      <c r="D47" s="11"/>
      <c r="E47" s="12"/>
      <c r="F47" s="14" t="str">
        <f aca="false">IF(A47="","",SUMIFS(Reservations!$G:$G,Reservations!$E:$E,A47,Reservations!$F:$F,B47,Reservations!$D:$D,C47))</f>
        <v/>
      </c>
      <c r="G47" s="14" t="str">
        <f aca="false">IF(OR(A47="",E47=""),"",E47-F47)</f>
        <v/>
      </c>
      <c r="H47" s="15" t="str">
        <f aca="false">IF(G47="","",IF(G47&lt;0,"Surbooké",IF(G47=0,"Complet","Ouvert")))</f>
        <v/>
      </c>
      <c r="I47" s="11"/>
    </row>
    <row r="48" customFormat="false" ht="15" hidden="false" customHeight="false" outlineLevel="0" collapsed="false">
      <c r="A48" s="10"/>
      <c r="B48" s="16"/>
      <c r="C48" s="11"/>
      <c r="D48" s="11"/>
      <c r="E48" s="12"/>
      <c r="F48" s="14" t="str">
        <f aca="false">IF(A48="","",SUMIFS(Reservations!$G:$G,Reservations!$E:$E,A48,Reservations!$F:$F,B48,Reservations!$D:$D,C48))</f>
        <v/>
      </c>
      <c r="G48" s="14" t="str">
        <f aca="false">IF(OR(A48="",E48=""),"",E48-F48)</f>
        <v/>
      </c>
      <c r="H48" s="15" t="str">
        <f aca="false">IF(G48="","",IF(G48&lt;0,"Surbooké",IF(G48=0,"Complet","Ouvert")))</f>
        <v/>
      </c>
      <c r="I48" s="11"/>
    </row>
    <row r="49" customFormat="false" ht="15" hidden="false" customHeight="false" outlineLevel="0" collapsed="false">
      <c r="A49" s="10"/>
      <c r="B49" s="16"/>
      <c r="C49" s="11"/>
      <c r="D49" s="11"/>
      <c r="E49" s="12"/>
      <c r="F49" s="14" t="str">
        <f aca="false">IF(A49="","",SUMIFS(Reservations!$G:$G,Reservations!$E:$E,A49,Reservations!$F:$F,B49,Reservations!$D:$D,C49))</f>
        <v/>
      </c>
      <c r="G49" s="14" t="str">
        <f aca="false">IF(OR(A49="",E49=""),"",E49-F49)</f>
        <v/>
      </c>
      <c r="H49" s="15" t="str">
        <f aca="false">IF(G49="","",IF(G49&lt;0,"Surbooké",IF(G49=0,"Complet","Ouvert")))</f>
        <v/>
      </c>
      <c r="I49" s="11"/>
    </row>
    <row r="50" customFormat="false" ht="15" hidden="false" customHeight="false" outlineLevel="0" collapsed="false">
      <c r="A50" s="10"/>
      <c r="B50" s="16"/>
      <c r="C50" s="11"/>
      <c r="D50" s="11"/>
      <c r="E50" s="12"/>
      <c r="F50" s="14" t="str">
        <f aca="false">IF(A50="","",SUMIFS(Reservations!$G:$G,Reservations!$E:$E,A50,Reservations!$F:$F,B50,Reservations!$D:$D,C50))</f>
        <v/>
      </c>
      <c r="G50" s="14" t="str">
        <f aca="false">IF(OR(A50="",E50=""),"",E50-F50)</f>
        <v/>
      </c>
      <c r="H50" s="15" t="str">
        <f aca="false">IF(G50="","",IF(G50&lt;0,"Surbooké",IF(G50=0,"Complet","Ouvert")))</f>
        <v/>
      </c>
      <c r="I50" s="11"/>
    </row>
    <row r="51" customFormat="false" ht="15" hidden="false" customHeight="false" outlineLevel="0" collapsed="false">
      <c r="A51" s="10"/>
      <c r="B51" s="16"/>
      <c r="C51" s="11"/>
      <c r="D51" s="11"/>
      <c r="E51" s="12"/>
      <c r="F51" s="14" t="str">
        <f aca="false">IF(A51="","",SUMIFS(Reservations!$G:$G,Reservations!$E:$E,A51,Reservations!$F:$F,B51,Reservations!$D:$D,C51))</f>
        <v/>
      </c>
      <c r="G51" s="14" t="str">
        <f aca="false">IF(OR(A51="",E51=""),"",E51-F51)</f>
        <v/>
      </c>
      <c r="H51" s="15" t="str">
        <f aca="false">IF(G51="","",IF(G51&lt;0,"Surbooké",IF(G51=0,"Complet","Ouvert")))</f>
        <v/>
      </c>
      <c r="I51" s="11"/>
    </row>
    <row r="52" customFormat="false" ht="15" hidden="false" customHeight="false" outlineLevel="0" collapsed="false">
      <c r="A52" s="10"/>
      <c r="B52" s="16"/>
      <c r="C52" s="11"/>
      <c r="D52" s="11"/>
      <c r="E52" s="12"/>
      <c r="F52" s="14" t="str">
        <f aca="false">IF(A52="","",SUMIFS(Reservations!$G:$G,Reservations!$E:$E,A52,Reservations!$F:$F,B52,Reservations!$D:$D,C52))</f>
        <v/>
      </c>
      <c r="G52" s="14" t="str">
        <f aca="false">IF(OR(A52="",E52=""),"",E52-F52)</f>
        <v/>
      </c>
      <c r="H52" s="15" t="str">
        <f aca="false">IF(G52="","",IF(G52&lt;0,"Surbooké",IF(G52=0,"Complet","Ouvert")))</f>
        <v/>
      </c>
      <c r="I52" s="11"/>
    </row>
    <row r="53" customFormat="false" ht="15" hidden="false" customHeight="false" outlineLevel="0" collapsed="false">
      <c r="A53" s="10"/>
      <c r="B53" s="16"/>
      <c r="C53" s="11"/>
      <c r="D53" s="11"/>
      <c r="E53" s="12"/>
      <c r="F53" s="14" t="str">
        <f aca="false">IF(A53="","",SUMIFS(Reservations!$G:$G,Reservations!$E:$E,A53,Reservations!$F:$F,B53,Reservations!$D:$D,C53))</f>
        <v/>
      </c>
      <c r="G53" s="14" t="str">
        <f aca="false">IF(OR(A53="",E53=""),"",E53-F53)</f>
        <v/>
      </c>
      <c r="H53" s="15" t="str">
        <f aca="false">IF(G53="","",IF(G53&lt;0,"Surbooké",IF(G53=0,"Complet","Ouvert")))</f>
        <v/>
      </c>
      <c r="I53" s="11"/>
    </row>
    <row r="54" customFormat="false" ht="15" hidden="false" customHeight="false" outlineLevel="0" collapsed="false">
      <c r="A54" s="10"/>
      <c r="B54" s="16"/>
      <c r="C54" s="11"/>
      <c r="D54" s="11"/>
      <c r="E54" s="12"/>
      <c r="F54" s="14" t="str">
        <f aca="false">IF(A54="","",SUMIFS(Reservations!$G:$G,Reservations!$E:$E,A54,Reservations!$F:$F,B54,Reservations!$D:$D,C54))</f>
        <v/>
      </c>
      <c r="G54" s="14" t="str">
        <f aca="false">IF(OR(A54="",E54=""),"",E54-F54)</f>
        <v/>
      </c>
      <c r="H54" s="15" t="str">
        <f aca="false">IF(G54="","",IF(G54&lt;0,"Surbooké",IF(G54=0,"Complet","Ouvert")))</f>
        <v/>
      </c>
      <c r="I54" s="11"/>
    </row>
    <row r="55" customFormat="false" ht="15" hidden="false" customHeight="false" outlineLevel="0" collapsed="false">
      <c r="A55" s="10"/>
      <c r="B55" s="16"/>
      <c r="C55" s="11"/>
      <c r="D55" s="11"/>
      <c r="E55" s="12"/>
      <c r="F55" s="14" t="str">
        <f aca="false">IF(A55="","",SUMIFS(Reservations!$G:$G,Reservations!$E:$E,A55,Reservations!$F:$F,B55,Reservations!$D:$D,C55))</f>
        <v/>
      </c>
      <c r="G55" s="14" t="str">
        <f aca="false">IF(OR(A55="",E55=""),"",E55-F55)</f>
        <v/>
      </c>
      <c r="H55" s="15" t="str">
        <f aca="false">IF(G55="","",IF(G55&lt;0,"Surbooké",IF(G55=0,"Complet","Ouvert")))</f>
        <v/>
      </c>
      <c r="I55" s="11"/>
    </row>
    <row r="56" customFormat="false" ht="15" hidden="false" customHeight="false" outlineLevel="0" collapsed="false">
      <c r="A56" s="10"/>
      <c r="B56" s="16"/>
      <c r="C56" s="11"/>
      <c r="D56" s="11"/>
      <c r="E56" s="12"/>
      <c r="F56" s="14" t="str">
        <f aca="false">IF(A56="","",SUMIFS(Reservations!$G:$G,Reservations!$E:$E,A56,Reservations!$F:$F,B56,Reservations!$D:$D,C56))</f>
        <v/>
      </c>
      <c r="G56" s="14" t="str">
        <f aca="false">IF(OR(A56="",E56=""),"",E56-F56)</f>
        <v/>
      </c>
      <c r="H56" s="15" t="str">
        <f aca="false">IF(G56="","",IF(G56&lt;0,"Surbooké",IF(G56=0,"Complet","Ouvert")))</f>
        <v/>
      </c>
      <c r="I56" s="11"/>
    </row>
    <row r="57" customFormat="false" ht="15" hidden="false" customHeight="false" outlineLevel="0" collapsed="false">
      <c r="A57" s="10"/>
      <c r="B57" s="16"/>
      <c r="C57" s="11"/>
      <c r="D57" s="11"/>
      <c r="E57" s="12"/>
      <c r="F57" s="14" t="str">
        <f aca="false">IF(A57="","",SUMIFS(Reservations!$G:$G,Reservations!$E:$E,A57,Reservations!$F:$F,B57,Reservations!$D:$D,C57))</f>
        <v/>
      </c>
      <c r="G57" s="14" t="str">
        <f aca="false">IF(OR(A57="",E57=""),"",E57-F57)</f>
        <v/>
      </c>
      <c r="H57" s="15" t="str">
        <f aca="false">IF(G57="","",IF(G57&lt;0,"Surbooké",IF(G57=0,"Complet","Ouvert")))</f>
        <v/>
      </c>
      <c r="I57" s="11"/>
    </row>
    <row r="58" customFormat="false" ht="15" hidden="false" customHeight="false" outlineLevel="0" collapsed="false">
      <c r="A58" s="10"/>
      <c r="B58" s="16"/>
      <c r="C58" s="11"/>
      <c r="D58" s="11"/>
      <c r="E58" s="12"/>
      <c r="F58" s="14" t="str">
        <f aca="false">IF(A58="","",SUMIFS(Reservations!$G:$G,Reservations!$E:$E,A58,Reservations!$F:$F,B58,Reservations!$D:$D,C58))</f>
        <v/>
      </c>
      <c r="G58" s="14" t="str">
        <f aca="false">IF(OR(A58="",E58=""),"",E58-F58)</f>
        <v/>
      </c>
      <c r="H58" s="15" t="str">
        <f aca="false">IF(G58="","",IF(G58&lt;0,"Surbooké",IF(G58=0,"Complet","Ouvert")))</f>
        <v/>
      </c>
      <c r="I58" s="11"/>
    </row>
    <row r="59" customFormat="false" ht="15" hidden="false" customHeight="false" outlineLevel="0" collapsed="false">
      <c r="A59" s="10"/>
      <c r="B59" s="16"/>
      <c r="C59" s="11"/>
      <c r="D59" s="11"/>
      <c r="E59" s="12"/>
      <c r="F59" s="14" t="str">
        <f aca="false">IF(A59="","",SUMIFS(Reservations!$G:$G,Reservations!$E:$E,A59,Reservations!$F:$F,B59,Reservations!$D:$D,C59))</f>
        <v/>
      </c>
      <c r="G59" s="14" t="str">
        <f aca="false">IF(OR(A59="",E59=""),"",E59-F59)</f>
        <v/>
      </c>
      <c r="H59" s="15" t="str">
        <f aca="false">IF(G59="","",IF(G59&lt;0,"Surbooké",IF(G59=0,"Complet","Ouvert")))</f>
        <v/>
      </c>
      <c r="I59" s="11"/>
    </row>
    <row r="60" customFormat="false" ht="15" hidden="false" customHeight="false" outlineLevel="0" collapsed="false">
      <c r="A60" s="10"/>
      <c r="B60" s="16"/>
      <c r="C60" s="11"/>
      <c r="D60" s="11"/>
      <c r="E60" s="12"/>
      <c r="F60" s="14" t="str">
        <f aca="false">IF(A60="","",SUMIFS(Reservations!$G:$G,Reservations!$E:$E,A60,Reservations!$F:$F,B60,Reservations!$D:$D,C60))</f>
        <v/>
      </c>
      <c r="G60" s="14" t="str">
        <f aca="false">IF(OR(A60="",E60=""),"",E60-F60)</f>
        <v/>
      </c>
      <c r="H60" s="15" t="str">
        <f aca="false">IF(G60="","",IF(G60&lt;0,"Surbooké",IF(G60=0,"Complet","Ouvert")))</f>
        <v/>
      </c>
      <c r="I60" s="11"/>
    </row>
    <row r="61" customFormat="false" ht="15" hidden="false" customHeight="false" outlineLevel="0" collapsed="false">
      <c r="A61" s="10"/>
      <c r="B61" s="16"/>
      <c r="C61" s="11"/>
      <c r="D61" s="11"/>
      <c r="E61" s="12"/>
      <c r="F61" s="14" t="str">
        <f aca="false">IF(A61="","",SUMIFS(Reservations!$G:$G,Reservations!$E:$E,A61,Reservations!$F:$F,B61,Reservations!$D:$D,C61))</f>
        <v/>
      </c>
      <c r="G61" s="14" t="str">
        <f aca="false">IF(OR(A61="",E61=""),"",E61-F61)</f>
        <v/>
      </c>
      <c r="H61" s="15" t="str">
        <f aca="false">IF(G61="","",IF(G61&lt;0,"Surbooké",IF(G61=0,"Complet","Ouvert")))</f>
        <v/>
      </c>
      <c r="I61" s="11"/>
    </row>
    <row r="62" customFormat="false" ht="15" hidden="false" customHeight="false" outlineLevel="0" collapsed="false">
      <c r="A62" s="10"/>
      <c r="B62" s="16"/>
      <c r="C62" s="11"/>
      <c r="D62" s="11"/>
      <c r="E62" s="12"/>
      <c r="F62" s="14" t="str">
        <f aca="false">IF(A62="","",SUMIFS(Reservations!$G:$G,Reservations!$E:$E,A62,Reservations!$F:$F,B62,Reservations!$D:$D,C62))</f>
        <v/>
      </c>
      <c r="G62" s="14" t="str">
        <f aca="false">IF(OR(A62="",E62=""),"",E62-F62)</f>
        <v/>
      </c>
      <c r="H62" s="15" t="str">
        <f aca="false">IF(G62="","",IF(G62&lt;0,"Surbooké",IF(G62=0,"Complet","Ouvert")))</f>
        <v/>
      </c>
      <c r="I62" s="11"/>
    </row>
    <row r="63" customFormat="false" ht="15" hidden="false" customHeight="false" outlineLevel="0" collapsed="false">
      <c r="A63" s="10"/>
      <c r="B63" s="16"/>
      <c r="C63" s="11"/>
      <c r="D63" s="11"/>
      <c r="E63" s="12"/>
      <c r="F63" s="14" t="str">
        <f aca="false">IF(A63="","",SUMIFS(Reservations!$G:$G,Reservations!$E:$E,A63,Reservations!$F:$F,B63,Reservations!$D:$D,C63))</f>
        <v/>
      </c>
      <c r="G63" s="14" t="str">
        <f aca="false">IF(OR(A63="",E63=""),"",E63-F63)</f>
        <v/>
      </c>
      <c r="H63" s="15" t="str">
        <f aca="false">IF(G63="","",IF(G63&lt;0,"Surbooké",IF(G63=0,"Complet","Ouvert")))</f>
        <v/>
      </c>
      <c r="I63" s="11"/>
    </row>
    <row r="64" customFormat="false" ht="15" hidden="false" customHeight="false" outlineLevel="0" collapsed="false">
      <c r="A64" s="10"/>
      <c r="B64" s="16"/>
      <c r="C64" s="11"/>
      <c r="D64" s="11"/>
      <c r="E64" s="12"/>
      <c r="F64" s="14" t="str">
        <f aca="false">IF(A64="","",SUMIFS(Reservations!$G:$G,Reservations!$E:$E,A64,Reservations!$F:$F,B64,Reservations!$D:$D,C64))</f>
        <v/>
      </c>
      <c r="G64" s="14" t="str">
        <f aca="false">IF(OR(A64="",E64=""),"",E64-F64)</f>
        <v/>
      </c>
      <c r="H64" s="15" t="str">
        <f aca="false">IF(G64="","",IF(G64&lt;0,"Surbooké",IF(G64=0,"Complet","Ouvert")))</f>
        <v/>
      </c>
      <c r="I64" s="11"/>
    </row>
    <row r="65" customFormat="false" ht="15" hidden="false" customHeight="false" outlineLevel="0" collapsed="false">
      <c r="A65" s="10"/>
      <c r="B65" s="16"/>
      <c r="C65" s="11"/>
      <c r="D65" s="11"/>
      <c r="E65" s="12"/>
      <c r="F65" s="14" t="str">
        <f aca="false">IF(A65="","",SUMIFS(Reservations!$G:$G,Reservations!$E:$E,A65,Reservations!$F:$F,B65,Reservations!$D:$D,C65))</f>
        <v/>
      </c>
      <c r="G65" s="14" t="str">
        <f aca="false">IF(OR(A65="",E65=""),"",E65-F65)</f>
        <v/>
      </c>
      <c r="H65" s="15" t="str">
        <f aca="false">IF(G65="","",IF(G65&lt;0,"Surbooké",IF(G65=0,"Complet","Ouvert")))</f>
        <v/>
      </c>
      <c r="I65" s="11"/>
    </row>
    <row r="66" customFormat="false" ht="15" hidden="false" customHeight="false" outlineLevel="0" collapsed="false">
      <c r="A66" s="10"/>
      <c r="B66" s="16"/>
      <c r="C66" s="11"/>
      <c r="D66" s="11"/>
      <c r="E66" s="12"/>
      <c r="F66" s="14" t="str">
        <f aca="false">IF(A66="","",SUMIFS(Reservations!$G:$G,Reservations!$E:$E,A66,Reservations!$F:$F,B66,Reservations!$D:$D,C66))</f>
        <v/>
      </c>
      <c r="G66" s="14" t="str">
        <f aca="false">IF(OR(A66="",E66=""),"",E66-F66)</f>
        <v/>
      </c>
      <c r="H66" s="15" t="str">
        <f aca="false">IF(G66="","",IF(G66&lt;0,"Surbooké",IF(G66=0,"Complet","Ouvert")))</f>
        <v/>
      </c>
      <c r="I66" s="11"/>
    </row>
    <row r="67" customFormat="false" ht="15" hidden="false" customHeight="false" outlineLevel="0" collapsed="false">
      <c r="A67" s="10"/>
      <c r="B67" s="16"/>
      <c r="C67" s="11"/>
      <c r="D67" s="11"/>
      <c r="E67" s="12"/>
      <c r="F67" s="14" t="str">
        <f aca="false">IF(A67="","",SUMIFS(Reservations!$G:$G,Reservations!$E:$E,A67,Reservations!$F:$F,B67,Reservations!$D:$D,C67))</f>
        <v/>
      </c>
      <c r="G67" s="14" t="str">
        <f aca="false">IF(OR(A67="",E67=""),"",E67-F67)</f>
        <v/>
      </c>
      <c r="H67" s="15" t="str">
        <f aca="false">IF(G67="","",IF(G67&lt;0,"Surbooké",IF(G67=0,"Complet","Ouvert")))</f>
        <v/>
      </c>
      <c r="I67" s="11"/>
    </row>
    <row r="68" customFormat="false" ht="15" hidden="false" customHeight="false" outlineLevel="0" collapsed="false">
      <c r="A68" s="10"/>
      <c r="B68" s="16"/>
      <c r="C68" s="11"/>
      <c r="D68" s="11"/>
      <c r="E68" s="12"/>
      <c r="F68" s="14" t="str">
        <f aca="false">IF(A68="","",SUMIFS(Reservations!$G:$G,Reservations!$E:$E,A68,Reservations!$F:$F,B68,Reservations!$D:$D,C68))</f>
        <v/>
      </c>
      <c r="G68" s="14" t="str">
        <f aca="false">IF(OR(A68="",E68=""),"",E68-F68)</f>
        <v/>
      </c>
      <c r="H68" s="15" t="str">
        <f aca="false">IF(G68="","",IF(G68&lt;0,"Surbooké",IF(G68=0,"Complet","Ouvert")))</f>
        <v/>
      </c>
      <c r="I68" s="11"/>
    </row>
    <row r="69" customFormat="false" ht="15" hidden="false" customHeight="false" outlineLevel="0" collapsed="false">
      <c r="A69" s="10"/>
      <c r="B69" s="16"/>
      <c r="C69" s="11"/>
      <c r="D69" s="11"/>
      <c r="E69" s="12"/>
      <c r="F69" s="14" t="str">
        <f aca="false">IF(A69="","",SUMIFS(Reservations!$G:$G,Reservations!$E:$E,A69,Reservations!$F:$F,B69,Reservations!$D:$D,C69))</f>
        <v/>
      </c>
      <c r="G69" s="14" t="str">
        <f aca="false">IF(OR(A69="",E69=""),"",E69-F69)</f>
        <v/>
      </c>
      <c r="H69" s="15" t="str">
        <f aca="false">IF(G69="","",IF(G69&lt;0,"Surbooké",IF(G69=0,"Complet","Ouvert")))</f>
        <v/>
      </c>
      <c r="I69" s="11"/>
    </row>
    <row r="70" customFormat="false" ht="15" hidden="false" customHeight="false" outlineLevel="0" collapsed="false">
      <c r="A70" s="10"/>
      <c r="B70" s="16"/>
      <c r="C70" s="11"/>
      <c r="D70" s="11"/>
      <c r="E70" s="12"/>
      <c r="F70" s="14" t="str">
        <f aca="false">IF(A70="","",SUMIFS(Reservations!$G:$G,Reservations!$E:$E,A70,Reservations!$F:$F,B70,Reservations!$D:$D,C70))</f>
        <v/>
      </c>
      <c r="G70" s="14" t="str">
        <f aca="false">IF(OR(A70="",E70=""),"",E70-F70)</f>
        <v/>
      </c>
      <c r="H70" s="15" t="str">
        <f aca="false">IF(G70="","",IF(G70&lt;0,"Surbooké",IF(G70=0,"Complet","Ouvert")))</f>
        <v/>
      </c>
      <c r="I70" s="11"/>
    </row>
    <row r="71" customFormat="false" ht="15" hidden="false" customHeight="false" outlineLevel="0" collapsed="false">
      <c r="A71" s="10"/>
      <c r="B71" s="16"/>
      <c r="C71" s="11"/>
      <c r="D71" s="11"/>
      <c r="E71" s="12"/>
      <c r="F71" s="14" t="str">
        <f aca="false">IF(A71="","",SUMIFS(Reservations!$G:$G,Reservations!$E:$E,A71,Reservations!$F:$F,B71,Reservations!$D:$D,C71))</f>
        <v/>
      </c>
      <c r="G71" s="14" t="str">
        <f aca="false">IF(OR(A71="",E71=""),"",E71-F71)</f>
        <v/>
      </c>
      <c r="H71" s="15" t="str">
        <f aca="false">IF(G71="","",IF(G71&lt;0,"Surbooké",IF(G71=0,"Complet","Ouvert")))</f>
        <v/>
      </c>
      <c r="I71" s="11"/>
    </row>
    <row r="72" customFormat="false" ht="15" hidden="false" customHeight="false" outlineLevel="0" collapsed="false">
      <c r="A72" s="10"/>
      <c r="B72" s="16"/>
      <c r="C72" s="11"/>
      <c r="D72" s="11"/>
      <c r="E72" s="12"/>
      <c r="F72" s="14" t="str">
        <f aca="false">IF(A72="","",SUMIFS(Reservations!$G:$G,Reservations!$E:$E,A72,Reservations!$F:$F,B72,Reservations!$D:$D,C72))</f>
        <v/>
      </c>
      <c r="G72" s="14" t="str">
        <f aca="false">IF(OR(A72="",E72=""),"",E72-F72)</f>
        <v/>
      </c>
      <c r="H72" s="15" t="str">
        <f aca="false">IF(G72="","",IF(G72&lt;0,"Surbooké",IF(G72=0,"Complet","Ouvert")))</f>
        <v/>
      </c>
      <c r="I72" s="11"/>
    </row>
    <row r="73" customFormat="false" ht="15" hidden="false" customHeight="false" outlineLevel="0" collapsed="false">
      <c r="A73" s="10"/>
      <c r="B73" s="16"/>
      <c r="C73" s="11"/>
      <c r="D73" s="11"/>
      <c r="E73" s="12"/>
      <c r="F73" s="14" t="str">
        <f aca="false">IF(A73="","",SUMIFS(Reservations!$G:$G,Reservations!$E:$E,A73,Reservations!$F:$F,B73,Reservations!$D:$D,C73))</f>
        <v/>
      </c>
      <c r="G73" s="14" t="str">
        <f aca="false">IF(OR(A73="",E73=""),"",E73-F73)</f>
        <v/>
      </c>
      <c r="H73" s="15" t="str">
        <f aca="false">IF(G73="","",IF(G73&lt;0,"Surbooké",IF(G73=0,"Complet","Ouvert")))</f>
        <v/>
      </c>
      <c r="I73" s="11"/>
    </row>
    <row r="74" customFormat="false" ht="15" hidden="false" customHeight="false" outlineLevel="0" collapsed="false">
      <c r="A74" s="10"/>
      <c r="B74" s="16"/>
      <c r="C74" s="11"/>
      <c r="D74" s="11"/>
      <c r="E74" s="12"/>
      <c r="F74" s="14" t="str">
        <f aca="false">IF(A74="","",SUMIFS(Reservations!$G:$G,Reservations!$E:$E,A74,Reservations!$F:$F,B74,Reservations!$D:$D,C74))</f>
        <v/>
      </c>
      <c r="G74" s="14" t="str">
        <f aca="false">IF(OR(A74="",E74=""),"",E74-F74)</f>
        <v/>
      </c>
      <c r="H74" s="15" t="str">
        <f aca="false">IF(G74="","",IF(G74&lt;0,"Surbooké",IF(G74=0,"Complet","Ouvert")))</f>
        <v/>
      </c>
      <c r="I74" s="11"/>
    </row>
    <row r="75" customFormat="false" ht="15" hidden="false" customHeight="false" outlineLevel="0" collapsed="false">
      <c r="A75" s="10"/>
      <c r="B75" s="16"/>
      <c r="C75" s="11"/>
      <c r="D75" s="11"/>
      <c r="E75" s="12"/>
      <c r="F75" s="14" t="str">
        <f aca="false">IF(A75="","",SUMIFS(Reservations!$G:$G,Reservations!$E:$E,A75,Reservations!$F:$F,B75,Reservations!$D:$D,C75))</f>
        <v/>
      </c>
      <c r="G75" s="14" t="str">
        <f aca="false">IF(OR(A75="",E75=""),"",E75-F75)</f>
        <v/>
      </c>
      <c r="H75" s="15" t="str">
        <f aca="false">IF(G75="","",IF(G75&lt;0,"Surbooké",IF(G75=0,"Complet","Ouvert")))</f>
        <v/>
      </c>
      <c r="I75" s="11"/>
    </row>
    <row r="76" customFormat="false" ht="15" hidden="false" customHeight="false" outlineLevel="0" collapsed="false">
      <c r="A76" s="10"/>
      <c r="B76" s="16"/>
      <c r="C76" s="11"/>
      <c r="D76" s="11"/>
      <c r="E76" s="12"/>
      <c r="F76" s="14" t="str">
        <f aca="false">IF(A76="","",SUMIFS(Reservations!$G:$G,Reservations!$E:$E,A76,Reservations!$F:$F,B76,Reservations!$D:$D,C76))</f>
        <v/>
      </c>
      <c r="G76" s="14" t="str">
        <f aca="false">IF(OR(A76="",E76=""),"",E76-F76)</f>
        <v/>
      </c>
      <c r="H76" s="15" t="str">
        <f aca="false">IF(G76="","",IF(G76&lt;0,"Surbooké",IF(G76=0,"Complet","Ouvert")))</f>
        <v/>
      </c>
      <c r="I76" s="11"/>
    </row>
    <row r="77" customFormat="false" ht="15" hidden="false" customHeight="false" outlineLevel="0" collapsed="false">
      <c r="A77" s="10"/>
      <c r="B77" s="16"/>
      <c r="C77" s="11"/>
      <c r="D77" s="11"/>
      <c r="E77" s="12"/>
      <c r="F77" s="14" t="str">
        <f aca="false">IF(A77="","",SUMIFS(Reservations!$G:$G,Reservations!$E:$E,A77,Reservations!$F:$F,B77,Reservations!$D:$D,C77))</f>
        <v/>
      </c>
      <c r="G77" s="14" t="str">
        <f aca="false">IF(OR(A77="",E77=""),"",E77-F77)</f>
        <v/>
      </c>
      <c r="H77" s="15" t="str">
        <f aca="false">IF(G77="","",IF(G77&lt;0,"Surbooké",IF(G77=0,"Complet","Ouvert")))</f>
        <v/>
      </c>
      <c r="I77" s="11"/>
    </row>
    <row r="78" customFormat="false" ht="15" hidden="false" customHeight="false" outlineLevel="0" collapsed="false">
      <c r="A78" s="10"/>
      <c r="B78" s="16"/>
      <c r="C78" s="11"/>
      <c r="D78" s="11"/>
      <c r="E78" s="12"/>
      <c r="F78" s="14" t="str">
        <f aca="false">IF(A78="","",SUMIFS(Reservations!$G:$G,Reservations!$E:$E,A78,Reservations!$F:$F,B78,Reservations!$D:$D,C78))</f>
        <v/>
      </c>
      <c r="G78" s="14" t="str">
        <f aca="false">IF(OR(A78="",E78=""),"",E78-F78)</f>
        <v/>
      </c>
      <c r="H78" s="15" t="str">
        <f aca="false">IF(G78="","",IF(G78&lt;0,"Surbooké",IF(G78=0,"Complet","Ouvert")))</f>
        <v/>
      </c>
      <c r="I78" s="11"/>
    </row>
    <row r="79" customFormat="false" ht="15" hidden="false" customHeight="false" outlineLevel="0" collapsed="false">
      <c r="A79" s="10"/>
      <c r="B79" s="16"/>
      <c r="C79" s="11"/>
      <c r="D79" s="11"/>
      <c r="E79" s="12"/>
      <c r="F79" s="14" t="str">
        <f aca="false">IF(A79="","",SUMIFS(Reservations!$G:$G,Reservations!$E:$E,A79,Reservations!$F:$F,B79,Reservations!$D:$D,C79))</f>
        <v/>
      </c>
      <c r="G79" s="14" t="str">
        <f aca="false">IF(OR(A79="",E79=""),"",E79-F79)</f>
        <v/>
      </c>
      <c r="H79" s="15" t="str">
        <f aca="false">IF(G79="","",IF(G79&lt;0,"Surbooké",IF(G79=0,"Complet","Ouvert")))</f>
        <v/>
      </c>
      <c r="I79" s="11"/>
    </row>
    <row r="80" customFormat="false" ht="15" hidden="false" customHeight="false" outlineLevel="0" collapsed="false">
      <c r="A80" s="10"/>
      <c r="B80" s="16"/>
      <c r="C80" s="11"/>
      <c r="D80" s="11"/>
      <c r="E80" s="12"/>
      <c r="F80" s="14" t="str">
        <f aca="false">IF(A80="","",SUMIFS(Reservations!$G:$G,Reservations!$E:$E,A80,Reservations!$F:$F,B80,Reservations!$D:$D,C80))</f>
        <v/>
      </c>
      <c r="G80" s="14" t="str">
        <f aca="false">IF(OR(A80="",E80=""),"",E80-F80)</f>
        <v/>
      </c>
      <c r="H80" s="15" t="str">
        <f aca="false">IF(G80="","",IF(G80&lt;0,"Surbooké",IF(G80=0,"Complet","Ouvert")))</f>
        <v/>
      </c>
      <c r="I80" s="11"/>
    </row>
    <row r="81" customFormat="false" ht="15" hidden="false" customHeight="false" outlineLevel="0" collapsed="false">
      <c r="A81" s="10"/>
      <c r="B81" s="16"/>
      <c r="C81" s="11"/>
      <c r="D81" s="11"/>
      <c r="E81" s="12"/>
      <c r="F81" s="14" t="str">
        <f aca="false">IF(A81="","",SUMIFS(Reservations!$G:$G,Reservations!$E:$E,A81,Reservations!$F:$F,B81,Reservations!$D:$D,C81))</f>
        <v/>
      </c>
      <c r="G81" s="14" t="str">
        <f aca="false">IF(OR(A81="",E81=""),"",E81-F81)</f>
        <v/>
      </c>
      <c r="H81" s="15" t="str">
        <f aca="false">IF(G81="","",IF(G81&lt;0,"Surbooké",IF(G81=0,"Complet","Ouvert")))</f>
        <v/>
      </c>
      <c r="I81" s="11"/>
    </row>
    <row r="82" customFormat="false" ht="15" hidden="false" customHeight="false" outlineLevel="0" collapsed="false">
      <c r="A82" s="10"/>
      <c r="B82" s="16"/>
      <c r="C82" s="11"/>
      <c r="D82" s="11"/>
      <c r="E82" s="12"/>
      <c r="F82" s="14" t="str">
        <f aca="false">IF(A82="","",SUMIFS(Reservations!$G:$G,Reservations!$E:$E,A82,Reservations!$F:$F,B82,Reservations!$D:$D,C82))</f>
        <v/>
      </c>
      <c r="G82" s="14" t="str">
        <f aca="false">IF(OR(A82="",E82=""),"",E82-F82)</f>
        <v/>
      </c>
      <c r="H82" s="15" t="str">
        <f aca="false">IF(G82="","",IF(G82&lt;0,"Surbooké",IF(G82=0,"Complet","Ouvert")))</f>
        <v/>
      </c>
      <c r="I82" s="11"/>
    </row>
    <row r="83" customFormat="false" ht="15" hidden="false" customHeight="false" outlineLevel="0" collapsed="false">
      <c r="A83" s="10"/>
      <c r="B83" s="16"/>
      <c r="C83" s="11"/>
      <c r="D83" s="11"/>
      <c r="E83" s="12"/>
      <c r="F83" s="14" t="str">
        <f aca="false">IF(A83="","",SUMIFS(Reservations!$G:$G,Reservations!$E:$E,A83,Reservations!$F:$F,B83,Reservations!$D:$D,C83))</f>
        <v/>
      </c>
      <c r="G83" s="14" t="str">
        <f aca="false">IF(OR(A83="",E83=""),"",E83-F83)</f>
        <v/>
      </c>
      <c r="H83" s="15" t="str">
        <f aca="false">IF(G83="","",IF(G83&lt;0,"Surbooké",IF(G83=0,"Complet","Ouvert")))</f>
        <v/>
      </c>
      <c r="I83" s="11"/>
    </row>
    <row r="84" customFormat="false" ht="15" hidden="false" customHeight="false" outlineLevel="0" collapsed="false">
      <c r="A84" s="10"/>
      <c r="B84" s="16"/>
      <c r="C84" s="11"/>
      <c r="D84" s="11"/>
      <c r="E84" s="12"/>
      <c r="F84" s="14" t="str">
        <f aca="false">IF(A84="","",SUMIFS(Reservations!$G:$G,Reservations!$E:$E,A84,Reservations!$F:$F,B84,Reservations!$D:$D,C84))</f>
        <v/>
      </c>
      <c r="G84" s="14" t="str">
        <f aca="false">IF(OR(A84="",E84=""),"",E84-F84)</f>
        <v/>
      </c>
      <c r="H84" s="15" t="str">
        <f aca="false">IF(G84="","",IF(G84&lt;0,"Surbooké",IF(G84=0,"Complet","Ouvert")))</f>
        <v/>
      </c>
      <c r="I84" s="11"/>
    </row>
    <row r="85" customFormat="false" ht="15" hidden="false" customHeight="false" outlineLevel="0" collapsed="false">
      <c r="A85" s="10"/>
      <c r="B85" s="16"/>
      <c r="C85" s="11"/>
      <c r="D85" s="11"/>
      <c r="E85" s="12"/>
      <c r="F85" s="14" t="str">
        <f aca="false">IF(A85="","",SUMIFS(Reservations!$G:$G,Reservations!$E:$E,A85,Reservations!$F:$F,B85,Reservations!$D:$D,C85))</f>
        <v/>
      </c>
      <c r="G85" s="14" t="str">
        <f aca="false">IF(OR(A85="",E85=""),"",E85-F85)</f>
        <v/>
      </c>
      <c r="H85" s="15" t="str">
        <f aca="false">IF(G85="","",IF(G85&lt;0,"Surbooké",IF(G85=0,"Complet","Ouvert")))</f>
        <v/>
      </c>
      <c r="I85" s="11"/>
    </row>
    <row r="86" customFormat="false" ht="15" hidden="false" customHeight="false" outlineLevel="0" collapsed="false">
      <c r="A86" s="10"/>
      <c r="B86" s="16"/>
      <c r="C86" s="11"/>
      <c r="D86" s="11"/>
      <c r="E86" s="12"/>
      <c r="F86" s="14" t="str">
        <f aca="false">IF(A86="","",SUMIFS(Reservations!$G:$G,Reservations!$E:$E,A86,Reservations!$F:$F,B86,Reservations!$D:$D,C86))</f>
        <v/>
      </c>
      <c r="G86" s="14" t="str">
        <f aca="false">IF(OR(A86="",E86=""),"",E86-F86)</f>
        <v/>
      </c>
      <c r="H86" s="15" t="str">
        <f aca="false">IF(G86="","",IF(G86&lt;0,"Surbooké",IF(G86=0,"Complet","Ouvert")))</f>
        <v/>
      </c>
      <c r="I86" s="11"/>
    </row>
    <row r="87" customFormat="false" ht="15" hidden="false" customHeight="false" outlineLevel="0" collapsed="false">
      <c r="A87" s="10"/>
      <c r="B87" s="16"/>
      <c r="C87" s="11"/>
      <c r="D87" s="11"/>
      <c r="E87" s="12"/>
      <c r="F87" s="14" t="str">
        <f aca="false">IF(A87="","",SUMIFS(Reservations!$G:$G,Reservations!$E:$E,A87,Reservations!$F:$F,B87,Reservations!$D:$D,C87))</f>
        <v/>
      </c>
      <c r="G87" s="14" t="str">
        <f aca="false">IF(OR(A87="",E87=""),"",E87-F87)</f>
        <v/>
      </c>
      <c r="H87" s="15" t="str">
        <f aca="false">IF(G87="","",IF(G87&lt;0,"Surbooké",IF(G87=0,"Complet","Ouvert")))</f>
        <v/>
      </c>
      <c r="I87" s="11"/>
    </row>
    <row r="88" customFormat="false" ht="15" hidden="false" customHeight="false" outlineLevel="0" collapsed="false">
      <c r="A88" s="10"/>
      <c r="B88" s="16"/>
      <c r="C88" s="11"/>
      <c r="D88" s="11"/>
      <c r="E88" s="12"/>
      <c r="F88" s="14" t="str">
        <f aca="false">IF(A88="","",SUMIFS(Reservations!$G:$G,Reservations!$E:$E,A88,Reservations!$F:$F,B88,Reservations!$D:$D,C88))</f>
        <v/>
      </c>
      <c r="G88" s="14" t="str">
        <f aca="false">IF(OR(A88="",E88=""),"",E88-F88)</f>
        <v/>
      </c>
      <c r="H88" s="15" t="str">
        <f aca="false">IF(G88="","",IF(G88&lt;0,"Surbooké",IF(G88=0,"Complet","Ouvert")))</f>
        <v/>
      </c>
      <c r="I88" s="11"/>
    </row>
    <row r="89" customFormat="false" ht="15" hidden="false" customHeight="false" outlineLevel="0" collapsed="false">
      <c r="A89" s="10"/>
      <c r="B89" s="16"/>
      <c r="C89" s="11"/>
      <c r="D89" s="11"/>
      <c r="E89" s="12"/>
      <c r="F89" s="14" t="str">
        <f aca="false">IF(A89="","",SUMIFS(Reservations!$G:$G,Reservations!$E:$E,A89,Reservations!$F:$F,B89,Reservations!$D:$D,C89))</f>
        <v/>
      </c>
      <c r="G89" s="14" t="str">
        <f aca="false">IF(OR(A89="",E89=""),"",E89-F89)</f>
        <v/>
      </c>
      <c r="H89" s="15" t="str">
        <f aca="false">IF(G89="","",IF(G89&lt;0,"Surbooké",IF(G89=0,"Complet","Ouvert")))</f>
        <v/>
      </c>
      <c r="I89" s="11"/>
    </row>
    <row r="90" customFormat="false" ht="15" hidden="false" customHeight="false" outlineLevel="0" collapsed="false">
      <c r="A90" s="10"/>
      <c r="B90" s="16"/>
      <c r="C90" s="11"/>
      <c r="D90" s="11"/>
      <c r="E90" s="12"/>
      <c r="F90" s="14" t="str">
        <f aca="false">IF(A90="","",SUMIFS(Reservations!$G:$G,Reservations!$E:$E,A90,Reservations!$F:$F,B90,Reservations!$D:$D,C90))</f>
        <v/>
      </c>
      <c r="G90" s="14" t="str">
        <f aca="false">IF(OR(A90="",E90=""),"",E90-F90)</f>
        <v/>
      </c>
      <c r="H90" s="15" t="str">
        <f aca="false">IF(G90="","",IF(G90&lt;0,"Surbooké",IF(G90=0,"Complet","Ouvert")))</f>
        <v/>
      </c>
      <c r="I90" s="11"/>
    </row>
    <row r="91" customFormat="false" ht="15" hidden="false" customHeight="false" outlineLevel="0" collapsed="false">
      <c r="A91" s="10"/>
      <c r="B91" s="16"/>
      <c r="C91" s="11"/>
      <c r="D91" s="11"/>
      <c r="E91" s="12"/>
      <c r="F91" s="14" t="str">
        <f aca="false">IF(A91="","",SUMIFS(Reservations!$G:$G,Reservations!$E:$E,A91,Reservations!$F:$F,B91,Reservations!$D:$D,C91))</f>
        <v/>
      </c>
      <c r="G91" s="14" t="str">
        <f aca="false">IF(OR(A91="",E91=""),"",E91-F91)</f>
        <v/>
      </c>
      <c r="H91" s="15" t="str">
        <f aca="false">IF(G91="","",IF(G91&lt;0,"Surbooké",IF(G91=0,"Complet","Ouvert")))</f>
        <v/>
      </c>
      <c r="I91" s="11"/>
    </row>
    <row r="92" customFormat="false" ht="15" hidden="false" customHeight="false" outlineLevel="0" collapsed="false">
      <c r="A92" s="10"/>
      <c r="B92" s="16"/>
      <c r="C92" s="11"/>
      <c r="D92" s="11"/>
      <c r="E92" s="12"/>
      <c r="F92" s="14" t="str">
        <f aca="false">IF(A92="","",SUMIFS(Reservations!$G:$G,Reservations!$E:$E,A92,Reservations!$F:$F,B92,Reservations!$D:$D,C92))</f>
        <v/>
      </c>
      <c r="G92" s="14" t="str">
        <f aca="false">IF(OR(A92="",E92=""),"",E92-F92)</f>
        <v/>
      </c>
      <c r="H92" s="15" t="str">
        <f aca="false">IF(G92="","",IF(G92&lt;0,"Surbooké",IF(G92=0,"Complet","Ouvert")))</f>
        <v/>
      </c>
      <c r="I92" s="11"/>
    </row>
    <row r="93" customFormat="false" ht="15" hidden="false" customHeight="false" outlineLevel="0" collapsed="false">
      <c r="A93" s="10"/>
      <c r="B93" s="16"/>
      <c r="C93" s="11"/>
      <c r="D93" s="11"/>
      <c r="E93" s="12"/>
      <c r="F93" s="14" t="str">
        <f aca="false">IF(A93="","",SUMIFS(Reservations!$G:$G,Reservations!$E:$E,A93,Reservations!$F:$F,B93,Reservations!$D:$D,C93))</f>
        <v/>
      </c>
      <c r="G93" s="14" t="str">
        <f aca="false">IF(OR(A93="",E93=""),"",E93-F93)</f>
        <v/>
      </c>
      <c r="H93" s="15" t="str">
        <f aca="false">IF(G93="","",IF(G93&lt;0,"Surbooké",IF(G93=0,"Complet","Ouvert")))</f>
        <v/>
      </c>
      <c r="I93" s="11"/>
    </row>
    <row r="94" customFormat="false" ht="15" hidden="false" customHeight="false" outlineLevel="0" collapsed="false">
      <c r="A94" s="10"/>
      <c r="B94" s="16"/>
      <c r="C94" s="11"/>
      <c r="D94" s="11"/>
      <c r="E94" s="12"/>
      <c r="F94" s="14" t="str">
        <f aca="false">IF(A94="","",SUMIFS(Reservations!$G:$G,Reservations!$E:$E,A94,Reservations!$F:$F,B94,Reservations!$D:$D,C94))</f>
        <v/>
      </c>
      <c r="G94" s="14" t="str">
        <f aca="false">IF(OR(A94="",E94=""),"",E94-F94)</f>
        <v/>
      </c>
      <c r="H94" s="15" t="str">
        <f aca="false">IF(G94="","",IF(G94&lt;0,"Surbooké",IF(G94=0,"Complet","Ouvert")))</f>
        <v/>
      </c>
      <c r="I94" s="11"/>
    </row>
    <row r="95" customFormat="false" ht="15" hidden="false" customHeight="false" outlineLevel="0" collapsed="false">
      <c r="A95" s="10"/>
      <c r="B95" s="16"/>
      <c r="C95" s="11"/>
      <c r="D95" s="11"/>
      <c r="E95" s="12"/>
      <c r="F95" s="14" t="str">
        <f aca="false">IF(A95="","",SUMIFS(Reservations!$G:$G,Reservations!$E:$E,A95,Reservations!$F:$F,B95,Reservations!$D:$D,C95))</f>
        <v/>
      </c>
      <c r="G95" s="14" t="str">
        <f aca="false">IF(OR(A95="",E95=""),"",E95-F95)</f>
        <v/>
      </c>
      <c r="H95" s="15" t="str">
        <f aca="false">IF(G95="","",IF(G95&lt;0,"Surbooké",IF(G95=0,"Complet","Ouvert")))</f>
        <v/>
      </c>
      <c r="I95" s="11"/>
    </row>
    <row r="96" customFormat="false" ht="15" hidden="false" customHeight="false" outlineLevel="0" collapsed="false">
      <c r="A96" s="10"/>
      <c r="B96" s="16"/>
      <c r="C96" s="11"/>
      <c r="D96" s="11"/>
      <c r="E96" s="12"/>
      <c r="F96" s="14" t="str">
        <f aca="false">IF(A96="","",SUMIFS(Reservations!$G:$G,Reservations!$E:$E,A96,Reservations!$F:$F,B96,Reservations!$D:$D,C96))</f>
        <v/>
      </c>
      <c r="G96" s="14" t="str">
        <f aca="false">IF(OR(A96="",E96=""),"",E96-F96)</f>
        <v/>
      </c>
      <c r="H96" s="15" t="str">
        <f aca="false">IF(G96="","",IF(G96&lt;0,"Surbooké",IF(G96=0,"Complet","Ouvert")))</f>
        <v/>
      </c>
      <c r="I96" s="11"/>
    </row>
    <row r="97" customFormat="false" ht="15" hidden="false" customHeight="false" outlineLevel="0" collapsed="false">
      <c r="A97" s="10"/>
      <c r="B97" s="16"/>
      <c r="C97" s="11"/>
      <c r="D97" s="11"/>
      <c r="E97" s="12"/>
      <c r="F97" s="14" t="str">
        <f aca="false">IF(A97="","",SUMIFS(Reservations!$G:$G,Reservations!$E:$E,A97,Reservations!$F:$F,B97,Reservations!$D:$D,C97))</f>
        <v/>
      </c>
      <c r="G97" s="14" t="str">
        <f aca="false">IF(OR(A97="",E97=""),"",E97-F97)</f>
        <v/>
      </c>
      <c r="H97" s="15" t="str">
        <f aca="false">IF(G97="","",IF(G97&lt;0,"Surbooké",IF(G97=0,"Complet","Ouvert")))</f>
        <v/>
      </c>
      <c r="I97" s="11"/>
    </row>
    <row r="98" customFormat="false" ht="15" hidden="false" customHeight="false" outlineLevel="0" collapsed="false">
      <c r="A98" s="10"/>
      <c r="B98" s="16"/>
      <c r="C98" s="11"/>
      <c r="D98" s="11"/>
      <c r="E98" s="12"/>
      <c r="F98" s="14" t="str">
        <f aca="false">IF(A98="","",SUMIFS(Reservations!$G:$G,Reservations!$E:$E,A98,Reservations!$F:$F,B98,Reservations!$D:$D,C98))</f>
        <v/>
      </c>
      <c r="G98" s="14" t="str">
        <f aca="false">IF(OR(A98="",E98=""),"",E98-F98)</f>
        <v/>
      </c>
      <c r="H98" s="15" t="str">
        <f aca="false">IF(G98="","",IF(G98&lt;0,"Surbooké",IF(G98=0,"Complet","Ouvert")))</f>
        <v/>
      </c>
      <c r="I98" s="11"/>
    </row>
    <row r="99" customFormat="false" ht="15" hidden="false" customHeight="false" outlineLevel="0" collapsed="false">
      <c r="A99" s="10"/>
      <c r="B99" s="16"/>
      <c r="C99" s="11"/>
      <c r="D99" s="11"/>
      <c r="E99" s="12"/>
      <c r="F99" s="14" t="str">
        <f aca="false">IF(A99="","",SUMIFS(Reservations!$G:$G,Reservations!$E:$E,A99,Reservations!$F:$F,B99,Reservations!$D:$D,C99))</f>
        <v/>
      </c>
      <c r="G99" s="14" t="str">
        <f aca="false">IF(OR(A99="",E99=""),"",E99-F99)</f>
        <v/>
      </c>
      <c r="H99" s="15" t="str">
        <f aca="false">IF(G99="","",IF(G99&lt;0,"Surbooké",IF(G99=0,"Complet","Ouvert")))</f>
        <v/>
      </c>
      <c r="I99" s="11"/>
    </row>
    <row r="100" customFormat="false" ht="15" hidden="false" customHeight="false" outlineLevel="0" collapsed="false">
      <c r="A100" s="10"/>
      <c r="B100" s="16"/>
      <c r="C100" s="11"/>
      <c r="D100" s="11"/>
      <c r="E100" s="12"/>
      <c r="F100" s="14" t="str">
        <f aca="false">IF(A100="","",SUMIFS(Reservations!$G:$G,Reservations!$E:$E,A100,Reservations!$F:$F,B100,Reservations!$D:$D,C100))</f>
        <v/>
      </c>
      <c r="G100" s="14" t="str">
        <f aca="false">IF(OR(A100="",E100=""),"",E100-F100)</f>
        <v/>
      </c>
      <c r="H100" s="15" t="str">
        <f aca="false">IF(G100="","",IF(G100&lt;0,"Surbooké",IF(G100=0,"Complet","Ouvert")))</f>
        <v/>
      </c>
      <c r="I100" s="11"/>
    </row>
    <row r="101" customFormat="false" ht="15" hidden="false" customHeight="false" outlineLevel="0" collapsed="false">
      <c r="A101" s="10"/>
      <c r="B101" s="16"/>
      <c r="C101" s="11"/>
      <c r="D101" s="11"/>
      <c r="E101" s="12"/>
      <c r="F101" s="14" t="str">
        <f aca="false">IF(A101="","",SUMIFS(Reservations!$G:$G,Reservations!$E:$E,A101,Reservations!$F:$F,B101,Reservations!$D:$D,C101))</f>
        <v/>
      </c>
      <c r="G101" s="14" t="str">
        <f aca="false">IF(OR(A101="",E101=""),"",E101-F101)</f>
        <v/>
      </c>
      <c r="H101" s="15" t="str">
        <f aca="false">IF(G101="","",IF(G101&lt;0,"Surbooké",IF(G101=0,"Complet","Ouvert")))</f>
        <v/>
      </c>
      <c r="I101" s="11"/>
    </row>
    <row r="102" customFormat="false" ht="15" hidden="false" customHeight="false" outlineLevel="0" collapsed="false">
      <c r="A102" s="10"/>
      <c r="B102" s="16"/>
      <c r="C102" s="11"/>
      <c r="D102" s="11"/>
      <c r="E102" s="12"/>
      <c r="F102" s="14" t="str">
        <f aca="false">IF(A102="","",SUMIFS(Reservations!$G:$G,Reservations!$E:$E,A102,Reservations!$F:$F,B102,Reservations!$D:$D,C102))</f>
        <v/>
      </c>
      <c r="G102" s="14" t="str">
        <f aca="false">IF(OR(A102="",E102=""),"",E102-F102)</f>
        <v/>
      </c>
      <c r="H102" s="15" t="str">
        <f aca="false">IF(G102="","",IF(G102&lt;0,"Surbooké",IF(G102=0,"Complet","Ouvert")))</f>
        <v/>
      </c>
      <c r="I102" s="11"/>
    </row>
    <row r="103" customFormat="false" ht="15" hidden="false" customHeight="false" outlineLevel="0" collapsed="false">
      <c r="A103" s="10"/>
      <c r="B103" s="16"/>
      <c r="C103" s="11"/>
      <c r="D103" s="11"/>
      <c r="E103" s="12"/>
      <c r="F103" s="14" t="str">
        <f aca="false">IF(A103="","",SUMIFS(Reservations!$G:$G,Reservations!$E:$E,A103,Reservations!$F:$F,B103,Reservations!$D:$D,C103))</f>
        <v/>
      </c>
      <c r="G103" s="14" t="str">
        <f aca="false">IF(OR(A103="",E103=""),"",E103-F103)</f>
        <v/>
      </c>
      <c r="H103" s="15" t="str">
        <f aca="false">IF(G103="","",IF(G103&lt;0,"Surbooké",IF(G103=0,"Complet","Ouvert")))</f>
        <v/>
      </c>
      <c r="I103" s="11"/>
    </row>
    <row r="104" customFormat="false" ht="15" hidden="false" customHeight="false" outlineLevel="0" collapsed="false">
      <c r="A104" s="10"/>
      <c r="B104" s="16"/>
      <c r="C104" s="11"/>
      <c r="D104" s="11"/>
      <c r="E104" s="12"/>
      <c r="F104" s="14" t="str">
        <f aca="false">IF(A104="","",SUMIFS(Reservations!$G:$G,Reservations!$E:$E,A104,Reservations!$F:$F,B104,Reservations!$D:$D,C104))</f>
        <v/>
      </c>
      <c r="G104" s="14" t="str">
        <f aca="false">IF(OR(A104="",E104=""),"",E104-F104)</f>
        <v/>
      </c>
      <c r="H104" s="15" t="str">
        <f aca="false">IF(G104="","",IF(G104&lt;0,"Surbooké",IF(G104=0,"Complet","Ouvert")))</f>
        <v/>
      </c>
      <c r="I104" s="11"/>
    </row>
    <row r="105" customFormat="false" ht="15" hidden="false" customHeight="false" outlineLevel="0" collapsed="false">
      <c r="A105" s="10"/>
      <c r="B105" s="16"/>
      <c r="C105" s="11"/>
      <c r="D105" s="11"/>
      <c r="E105" s="12"/>
      <c r="F105" s="14" t="str">
        <f aca="false">IF(A105="","",SUMIFS(Reservations!$G:$G,Reservations!$E:$E,A105,Reservations!$F:$F,B105,Reservations!$D:$D,C105))</f>
        <v/>
      </c>
      <c r="G105" s="14" t="str">
        <f aca="false">IF(OR(A105="",E105=""),"",E105-F105)</f>
        <v/>
      </c>
      <c r="H105" s="15" t="str">
        <f aca="false">IF(G105="","",IF(G105&lt;0,"Surbooké",IF(G105=0,"Complet","Ouvert")))</f>
        <v/>
      </c>
      <c r="I105" s="11"/>
    </row>
    <row r="106" customFormat="false" ht="15" hidden="false" customHeight="false" outlineLevel="0" collapsed="false">
      <c r="A106" s="10"/>
      <c r="B106" s="16"/>
      <c r="C106" s="11"/>
      <c r="D106" s="11"/>
      <c r="E106" s="12"/>
      <c r="F106" s="14" t="str">
        <f aca="false">IF(A106="","",SUMIFS(Reservations!$G:$G,Reservations!$E:$E,A106,Reservations!$F:$F,B106,Reservations!$D:$D,C106))</f>
        <v/>
      </c>
      <c r="G106" s="14" t="str">
        <f aca="false">IF(OR(A106="",E106=""),"",E106-F106)</f>
        <v/>
      </c>
      <c r="H106" s="15" t="str">
        <f aca="false">IF(G106="","",IF(G106&lt;0,"Surbooké",IF(G106=0,"Complet","Ouvert")))</f>
        <v/>
      </c>
      <c r="I106" s="11"/>
    </row>
    <row r="107" customFormat="false" ht="15" hidden="false" customHeight="false" outlineLevel="0" collapsed="false">
      <c r="A107" s="10"/>
      <c r="B107" s="16"/>
      <c r="C107" s="11"/>
      <c r="D107" s="11"/>
      <c r="E107" s="12"/>
      <c r="F107" s="14" t="str">
        <f aca="false">IF(A107="","",SUMIFS(Reservations!$G:$G,Reservations!$E:$E,A107,Reservations!$F:$F,B107,Reservations!$D:$D,C107))</f>
        <v/>
      </c>
      <c r="G107" s="14" t="str">
        <f aca="false">IF(OR(A107="",E107=""),"",E107-F107)</f>
        <v/>
      </c>
      <c r="H107" s="15" t="str">
        <f aca="false">IF(G107="","",IF(G107&lt;0,"Surbooké",IF(G107=0,"Complet","Ouvert")))</f>
        <v/>
      </c>
      <c r="I107" s="11"/>
    </row>
    <row r="108" customFormat="false" ht="15" hidden="false" customHeight="false" outlineLevel="0" collapsed="false">
      <c r="A108" s="10"/>
      <c r="B108" s="16"/>
      <c r="C108" s="11"/>
      <c r="D108" s="11"/>
      <c r="E108" s="12"/>
      <c r="F108" s="14" t="str">
        <f aca="false">IF(A108="","",SUMIFS(Reservations!$G:$G,Reservations!$E:$E,A108,Reservations!$F:$F,B108,Reservations!$D:$D,C108))</f>
        <v/>
      </c>
      <c r="G108" s="14" t="str">
        <f aca="false">IF(OR(A108="",E108=""),"",E108-F108)</f>
        <v/>
      </c>
      <c r="H108" s="15" t="str">
        <f aca="false">IF(G108="","",IF(G108&lt;0,"Surbooké",IF(G108=0,"Complet","Ouvert")))</f>
        <v/>
      </c>
      <c r="I108" s="11"/>
    </row>
    <row r="109" customFormat="false" ht="15" hidden="false" customHeight="false" outlineLevel="0" collapsed="false">
      <c r="A109" s="10"/>
      <c r="B109" s="16"/>
      <c r="C109" s="11"/>
      <c r="D109" s="11"/>
      <c r="E109" s="12"/>
      <c r="F109" s="14" t="str">
        <f aca="false">IF(A109="","",SUMIFS(Reservations!$G:$G,Reservations!$E:$E,A109,Reservations!$F:$F,B109,Reservations!$D:$D,C109))</f>
        <v/>
      </c>
      <c r="G109" s="14" t="str">
        <f aca="false">IF(OR(A109="",E109=""),"",E109-F109)</f>
        <v/>
      </c>
      <c r="H109" s="15" t="str">
        <f aca="false">IF(G109="","",IF(G109&lt;0,"Surbooké",IF(G109=0,"Complet","Ouvert")))</f>
        <v/>
      </c>
      <c r="I109" s="11"/>
    </row>
    <row r="110" customFormat="false" ht="15" hidden="false" customHeight="false" outlineLevel="0" collapsed="false">
      <c r="A110" s="10"/>
      <c r="B110" s="16"/>
      <c r="C110" s="11"/>
      <c r="D110" s="11"/>
      <c r="E110" s="12"/>
      <c r="F110" s="14" t="str">
        <f aca="false">IF(A110="","",SUMIFS(Reservations!$G:$G,Reservations!$E:$E,A110,Reservations!$F:$F,B110,Reservations!$D:$D,C110))</f>
        <v/>
      </c>
      <c r="G110" s="14" t="str">
        <f aca="false">IF(OR(A110="",E110=""),"",E110-F110)</f>
        <v/>
      </c>
      <c r="H110" s="15" t="str">
        <f aca="false">IF(G110="","",IF(G110&lt;0,"Surbooké",IF(G110=0,"Complet","Ouvert")))</f>
        <v/>
      </c>
      <c r="I110" s="11"/>
    </row>
    <row r="111" customFormat="false" ht="15" hidden="false" customHeight="false" outlineLevel="0" collapsed="false">
      <c r="A111" s="10"/>
      <c r="B111" s="16"/>
      <c r="C111" s="11"/>
      <c r="D111" s="11"/>
      <c r="E111" s="12"/>
      <c r="F111" s="14" t="str">
        <f aca="false">IF(A111="","",SUMIFS(Reservations!$G:$G,Reservations!$E:$E,A111,Reservations!$F:$F,B111,Reservations!$D:$D,C111))</f>
        <v/>
      </c>
      <c r="G111" s="14" t="str">
        <f aca="false">IF(OR(A111="",E111=""),"",E111-F111)</f>
        <v/>
      </c>
      <c r="H111" s="15" t="str">
        <f aca="false">IF(G111="","",IF(G111&lt;0,"Surbooké",IF(G111=0,"Complet","Ouvert")))</f>
        <v/>
      </c>
      <c r="I111" s="11"/>
    </row>
    <row r="112" customFormat="false" ht="15" hidden="false" customHeight="false" outlineLevel="0" collapsed="false">
      <c r="A112" s="10"/>
      <c r="B112" s="16"/>
      <c r="C112" s="11"/>
      <c r="D112" s="11"/>
      <c r="E112" s="12"/>
      <c r="F112" s="14" t="str">
        <f aca="false">IF(A112="","",SUMIFS(Reservations!$G:$G,Reservations!$E:$E,A112,Reservations!$F:$F,B112,Reservations!$D:$D,C112))</f>
        <v/>
      </c>
      <c r="G112" s="14" t="str">
        <f aca="false">IF(OR(A112="",E112=""),"",E112-F112)</f>
        <v/>
      </c>
      <c r="H112" s="15" t="str">
        <f aca="false">IF(G112="","",IF(G112&lt;0,"Surbooké",IF(G112=0,"Complet","Ouvert")))</f>
        <v/>
      </c>
      <c r="I112" s="11"/>
    </row>
    <row r="113" customFormat="false" ht="15" hidden="false" customHeight="false" outlineLevel="0" collapsed="false">
      <c r="A113" s="10"/>
      <c r="B113" s="16"/>
      <c r="C113" s="11"/>
      <c r="D113" s="11"/>
      <c r="E113" s="12"/>
      <c r="F113" s="14" t="str">
        <f aca="false">IF(A113="","",SUMIFS(Reservations!$G:$G,Reservations!$E:$E,A113,Reservations!$F:$F,B113,Reservations!$D:$D,C113))</f>
        <v/>
      </c>
      <c r="G113" s="14" t="str">
        <f aca="false">IF(OR(A113="",E113=""),"",E113-F113)</f>
        <v/>
      </c>
      <c r="H113" s="15" t="str">
        <f aca="false">IF(G113="","",IF(G113&lt;0,"Surbooké",IF(G113=0,"Complet","Ouvert")))</f>
        <v/>
      </c>
      <c r="I113" s="11"/>
    </row>
    <row r="114" customFormat="false" ht="15" hidden="false" customHeight="false" outlineLevel="0" collapsed="false">
      <c r="A114" s="10"/>
      <c r="B114" s="16"/>
      <c r="C114" s="11"/>
      <c r="D114" s="11"/>
      <c r="E114" s="12"/>
      <c r="F114" s="14" t="str">
        <f aca="false">IF(A114="","",SUMIFS(Reservations!$G:$G,Reservations!$E:$E,A114,Reservations!$F:$F,B114,Reservations!$D:$D,C114))</f>
        <v/>
      </c>
      <c r="G114" s="14" t="str">
        <f aca="false">IF(OR(A114="",E114=""),"",E114-F114)</f>
        <v/>
      </c>
      <c r="H114" s="15" t="str">
        <f aca="false">IF(G114="","",IF(G114&lt;0,"Surbooké",IF(G114=0,"Complet","Ouvert")))</f>
        <v/>
      </c>
      <c r="I114" s="11"/>
    </row>
    <row r="115" customFormat="false" ht="15" hidden="false" customHeight="false" outlineLevel="0" collapsed="false">
      <c r="A115" s="10"/>
      <c r="B115" s="16"/>
      <c r="C115" s="11"/>
      <c r="D115" s="11"/>
      <c r="E115" s="12"/>
      <c r="F115" s="14" t="str">
        <f aca="false">IF(A115="","",SUMIFS(Reservations!$G:$G,Reservations!$E:$E,A115,Reservations!$F:$F,B115,Reservations!$D:$D,C115))</f>
        <v/>
      </c>
      <c r="G115" s="14" t="str">
        <f aca="false">IF(OR(A115="",E115=""),"",E115-F115)</f>
        <v/>
      </c>
      <c r="H115" s="15" t="str">
        <f aca="false">IF(G115="","",IF(G115&lt;0,"Surbooké",IF(G115=0,"Complet","Ouvert")))</f>
        <v/>
      </c>
      <c r="I115" s="11"/>
    </row>
    <row r="116" customFormat="false" ht="15" hidden="false" customHeight="false" outlineLevel="0" collapsed="false">
      <c r="A116" s="10"/>
      <c r="B116" s="16"/>
      <c r="C116" s="11"/>
      <c r="D116" s="11"/>
      <c r="E116" s="12"/>
      <c r="F116" s="14" t="str">
        <f aca="false">IF(A116="","",SUMIFS(Reservations!$G:$G,Reservations!$E:$E,A116,Reservations!$F:$F,B116,Reservations!$D:$D,C116))</f>
        <v/>
      </c>
      <c r="G116" s="14" t="str">
        <f aca="false">IF(OR(A116="",E116=""),"",E116-F116)</f>
        <v/>
      </c>
      <c r="H116" s="15" t="str">
        <f aca="false">IF(G116="","",IF(G116&lt;0,"Surbooké",IF(G116=0,"Complet","Ouvert")))</f>
        <v/>
      </c>
      <c r="I116" s="11"/>
    </row>
    <row r="117" customFormat="false" ht="15" hidden="false" customHeight="false" outlineLevel="0" collapsed="false">
      <c r="A117" s="10"/>
      <c r="B117" s="16"/>
      <c r="C117" s="11"/>
      <c r="D117" s="11"/>
      <c r="E117" s="12"/>
      <c r="F117" s="14" t="str">
        <f aca="false">IF(A117="","",SUMIFS(Reservations!$G:$G,Reservations!$E:$E,A117,Reservations!$F:$F,B117,Reservations!$D:$D,C117))</f>
        <v/>
      </c>
      <c r="G117" s="14" t="str">
        <f aca="false">IF(OR(A117="",E117=""),"",E117-F117)</f>
        <v/>
      </c>
      <c r="H117" s="15" t="str">
        <f aca="false">IF(G117="","",IF(G117&lt;0,"Surbooké",IF(G117=0,"Complet","Ouvert")))</f>
        <v/>
      </c>
      <c r="I117" s="11"/>
    </row>
    <row r="118" customFormat="false" ht="15" hidden="false" customHeight="false" outlineLevel="0" collapsed="false">
      <c r="A118" s="10"/>
      <c r="B118" s="16"/>
      <c r="C118" s="11"/>
      <c r="D118" s="11"/>
      <c r="E118" s="12"/>
      <c r="F118" s="14" t="str">
        <f aca="false">IF(A118="","",SUMIFS(Reservations!$G:$G,Reservations!$E:$E,A118,Reservations!$F:$F,B118,Reservations!$D:$D,C118))</f>
        <v/>
      </c>
      <c r="G118" s="14" t="str">
        <f aca="false">IF(OR(A118="",E118=""),"",E118-F118)</f>
        <v/>
      </c>
      <c r="H118" s="15" t="str">
        <f aca="false">IF(G118="","",IF(G118&lt;0,"Surbooké",IF(G118=0,"Complet","Ouvert")))</f>
        <v/>
      </c>
      <c r="I118" s="11"/>
    </row>
    <row r="119" customFormat="false" ht="15" hidden="false" customHeight="false" outlineLevel="0" collapsed="false">
      <c r="A119" s="10"/>
      <c r="B119" s="16"/>
      <c r="C119" s="11"/>
      <c r="D119" s="11"/>
      <c r="E119" s="12"/>
      <c r="F119" s="14" t="str">
        <f aca="false">IF(A119="","",SUMIFS(Reservations!$G:$G,Reservations!$E:$E,A119,Reservations!$F:$F,B119,Reservations!$D:$D,C119))</f>
        <v/>
      </c>
      <c r="G119" s="14" t="str">
        <f aca="false">IF(OR(A119="",E119=""),"",E119-F119)</f>
        <v/>
      </c>
      <c r="H119" s="15" t="str">
        <f aca="false">IF(G119="","",IF(G119&lt;0,"Surbooké",IF(G119=0,"Complet","Ouvert")))</f>
        <v/>
      </c>
      <c r="I119" s="11"/>
    </row>
    <row r="120" customFormat="false" ht="15" hidden="false" customHeight="false" outlineLevel="0" collapsed="false">
      <c r="A120" s="10"/>
      <c r="B120" s="16"/>
      <c r="C120" s="11"/>
      <c r="D120" s="11"/>
      <c r="E120" s="12"/>
      <c r="F120" s="14" t="str">
        <f aca="false">IF(A120="","",SUMIFS(Reservations!$G:$G,Reservations!$E:$E,A120,Reservations!$F:$F,B120,Reservations!$D:$D,C120))</f>
        <v/>
      </c>
      <c r="G120" s="14" t="str">
        <f aca="false">IF(OR(A120="",E120=""),"",E120-F120)</f>
        <v/>
      </c>
      <c r="H120" s="15" t="str">
        <f aca="false">IF(G120="","",IF(G120&lt;0,"Surbooké",IF(G120=0,"Complet","Ouvert")))</f>
        <v/>
      </c>
      <c r="I120" s="11"/>
    </row>
    <row r="121" customFormat="false" ht="15" hidden="false" customHeight="false" outlineLevel="0" collapsed="false">
      <c r="A121" s="10"/>
      <c r="B121" s="16"/>
      <c r="C121" s="11"/>
      <c r="D121" s="11"/>
      <c r="E121" s="12"/>
      <c r="F121" s="14" t="str">
        <f aca="false">IF(A121="","",SUMIFS(Reservations!$G:$G,Reservations!$E:$E,A121,Reservations!$F:$F,B121,Reservations!$D:$D,C121))</f>
        <v/>
      </c>
      <c r="G121" s="14" t="str">
        <f aca="false">IF(OR(A121="",E121=""),"",E121-F121)</f>
        <v/>
      </c>
      <c r="H121" s="15" t="str">
        <f aca="false">IF(G121="","",IF(G121&lt;0,"Surbooké",IF(G121=0,"Complet","Ouvert")))</f>
        <v/>
      </c>
      <c r="I121" s="11"/>
    </row>
    <row r="122" customFormat="false" ht="15" hidden="false" customHeight="false" outlineLevel="0" collapsed="false">
      <c r="A122" s="10"/>
      <c r="B122" s="16"/>
      <c r="C122" s="11"/>
      <c r="D122" s="11"/>
      <c r="E122" s="12"/>
      <c r="F122" s="14" t="str">
        <f aca="false">IF(A122="","",SUMIFS(Reservations!$G:$G,Reservations!$E:$E,A122,Reservations!$F:$F,B122,Reservations!$D:$D,C122))</f>
        <v/>
      </c>
      <c r="G122" s="14" t="str">
        <f aca="false">IF(OR(A122="",E122=""),"",E122-F122)</f>
        <v/>
      </c>
      <c r="H122" s="15" t="str">
        <f aca="false">IF(G122="","",IF(G122&lt;0,"Surbooké",IF(G122=0,"Complet","Ouvert")))</f>
        <v/>
      </c>
      <c r="I122" s="11"/>
    </row>
    <row r="123" customFormat="false" ht="15" hidden="false" customHeight="false" outlineLevel="0" collapsed="false">
      <c r="A123" s="10"/>
      <c r="B123" s="16"/>
      <c r="C123" s="11"/>
      <c r="D123" s="11"/>
      <c r="E123" s="12"/>
      <c r="F123" s="14" t="str">
        <f aca="false">IF(A123="","",SUMIFS(Reservations!$G:$G,Reservations!$E:$E,A123,Reservations!$F:$F,B123,Reservations!$D:$D,C123))</f>
        <v/>
      </c>
      <c r="G123" s="14" t="str">
        <f aca="false">IF(OR(A123="",E123=""),"",E123-F123)</f>
        <v/>
      </c>
      <c r="H123" s="15" t="str">
        <f aca="false">IF(G123="","",IF(G123&lt;0,"Surbooké",IF(G123=0,"Complet","Ouvert")))</f>
        <v/>
      </c>
      <c r="I123" s="11"/>
    </row>
    <row r="124" customFormat="false" ht="15" hidden="false" customHeight="false" outlineLevel="0" collapsed="false">
      <c r="A124" s="10"/>
      <c r="B124" s="16"/>
      <c r="C124" s="11"/>
      <c r="D124" s="11"/>
      <c r="E124" s="12"/>
      <c r="F124" s="14" t="str">
        <f aca="false">IF(A124="","",SUMIFS(Reservations!$G:$G,Reservations!$E:$E,A124,Reservations!$F:$F,B124,Reservations!$D:$D,C124))</f>
        <v/>
      </c>
      <c r="G124" s="14" t="str">
        <f aca="false">IF(OR(A124="",E124=""),"",E124-F124)</f>
        <v/>
      </c>
      <c r="H124" s="15" t="str">
        <f aca="false">IF(G124="","",IF(G124&lt;0,"Surbooké",IF(G124=0,"Complet","Ouvert")))</f>
        <v/>
      </c>
      <c r="I124" s="11"/>
    </row>
    <row r="125" customFormat="false" ht="15" hidden="false" customHeight="false" outlineLevel="0" collapsed="false">
      <c r="A125" s="10"/>
      <c r="B125" s="16"/>
      <c r="C125" s="11"/>
      <c r="D125" s="11"/>
      <c r="E125" s="12"/>
      <c r="F125" s="14" t="str">
        <f aca="false">IF(A125="","",SUMIFS(Reservations!$G:$G,Reservations!$E:$E,A125,Reservations!$F:$F,B125,Reservations!$D:$D,C125))</f>
        <v/>
      </c>
      <c r="G125" s="14" t="str">
        <f aca="false">IF(OR(A125="",E125=""),"",E125-F125)</f>
        <v/>
      </c>
      <c r="H125" s="15" t="str">
        <f aca="false">IF(G125="","",IF(G125&lt;0,"Surbooké",IF(G125=0,"Complet","Ouvert")))</f>
        <v/>
      </c>
      <c r="I125" s="11"/>
    </row>
    <row r="126" customFormat="false" ht="15" hidden="false" customHeight="false" outlineLevel="0" collapsed="false">
      <c r="A126" s="10"/>
      <c r="B126" s="16"/>
      <c r="C126" s="11"/>
      <c r="D126" s="11"/>
      <c r="E126" s="12"/>
      <c r="F126" s="14" t="str">
        <f aca="false">IF(A126="","",SUMIFS(Reservations!$G:$G,Reservations!$E:$E,A126,Reservations!$F:$F,B126,Reservations!$D:$D,C126))</f>
        <v/>
      </c>
      <c r="G126" s="14" t="str">
        <f aca="false">IF(OR(A126="",E126=""),"",E126-F126)</f>
        <v/>
      </c>
      <c r="H126" s="15" t="str">
        <f aca="false">IF(G126="","",IF(G126&lt;0,"Surbooké",IF(G126=0,"Complet","Ouvert")))</f>
        <v/>
      </c>
      <c r="I126" s="11"/>
    </row>
    <row r="127" customFormat="false" ht="15" hidden="false" customHeight="false" outlineLevel="0" collapsed="false">
      <c r="A127" s="10"/>
      <c r="B127" s="16"/>
      <c r="C127" s="11"/>
      <c r="D127" s="11"/>
      <c r="E127" s="12"/>
      <c r="F127" s="14" t="str">
        <f aca="false">IF(A127="","",SUMIFS(Reservations!$G:$G,Reservations!$E:$E,A127,Reservations!$F:$F,B127,Reservations!$D:$D,C127))</f>
        <v/>
      </c>
      <c r="G127" s="14" t="str">
        <f aca="false">IF(OR(A127="",E127=""),"",E127-F127)</f>
        <v/>
      </c>
      <c r="H127" s="15" t="str">
        <f aca="false">IF(G127="","",IF(G127&lt;0,"Surbooké",IF(G127=0,"Complet","Ouvert")))</f>
        <v/>
      </c>
      <c r="I127" s="11"/>
    </row>
    <row r="128" customFormat="false" ht="15" hidden="false" customHeight="false" outlineLevel="0" collapsed="false">
      <c r="A128" s="10"/>
      <c r="B128" s="16"/>
      <c r="C128" s="11"/>
      <c r="D128" s="11"/>
      <c r="E128" s="12"/>
      <c r="F128" s="14" t="str">
        <f aca="false">IF(A128="","",SUMIFS(Reservations!$G:$G,Reservations!$E:$E,A128,Reservations!$F:$F,B128,Reservations!$D:$D,C128))</f>
        <v/>
      </c>
      <c r="G128" s="14" t="str">
        <f aca="false">IF(OR(A128="",E128=""),"",E128-F128)</f>
        <v/>
      </c>
      <c r="H128" s="15" t="str">
        <f aca="false">IF(G128="","",IF(G128&lt;0,"Surbooké",IF(G128=0,"Complet","Ouvert")))</f>
        <v/>
      </c>
      <c r="I128" s="11"/>
    </row>
    <row r="129" customFormat="false" ht="15" hidden="false" customHeight="false" outlineLevel="0" collapsed="false">
      <c r="A129" s="10"/>
      <c r="B129" s="16"/>
      <c r="C129" s="11"/>
      <c r="D129" s="11"/>
      <c r="E129" s="12"/>
      <c r="F129" s="14" t="str">
        <f aca="false">IF(A129="","",SUMIFS(Reservations!$G:$G,Reservations!$E:$E,A129,Reservations!$F:$F,B129,Reservations!$D:$D,C129))</f>
        <v/>
      </c>
      <c r="G129" s="14" t="str">
        <f aca="false">IF(OR(A129="",E129=""),"",E129-F129)</f>
        <v/>
      </c>
      <c r="H129" s="15" t="str">
        <f aca="false">IF(G129="","",IF(G129&lt;0,"Surbooké",IF(G129=0,"Complet","Ouvert")))</f>
        <v/>
      </c>
      <c r="I129" s="11"/>
    </row>
    <row r="130" customFormat="false" ht="15" hidden="false" customHeight="false" outlineLevel="0" collapsed="false">
      <c r="A130" s="10"/>
      <c r="B130" s="16"/>
      <c r="C130" s="11"/>
      <c r="D130" s="11"/>
      <c r="E130" s="12"/>
      <c r="F130" s="14" t="str">
        <f aca="false">IF(A130="","",SUMIFS(Reservations!$G:$G,Reservations!$E:$E,A130,Reservations!$F:$F,B130,Reservations!$D:$D,C130))</f>
        <v/>
      </c>
      <c r="G130" s="14" t="str">
        <f aca="false">IF(OR(A130="",E130=""),"",E130-F130)</f>
        <v/>
      </c>
      <c r="H130" s="15" t="str">
        <f aca="false">IF(G130="","",IF(G130&lt;0,"Surbooké",IF(G130=0,"Complet","Ouvert")))</f>
        <v/>
      </c>
      <c r="I130" s="11"/>
    </row>
    <row r="131" customFormat="false" ht="15" hidden="false" customHeight="false" outlineLevel="0" collapsed="false">
      <c r="A131" s="10"/>
      <c r="B131" s="16"/>
      <c r="C131" s="11"/>
      <c r="D131" s="11"/>
      <c r="E131" s="12"/>
      <c r="F131" s="14" t="str">
        <f aca="false">IF(A131="","",SUMIFS(Reservations!$G:$G,Reservations!$E:$E,A131,Reservations!$F:$F,B131,Reservations!$D:$D,C131))</f>
        <v/>
      </c>
      <c r="G131" s="14" t="str">
        <f aca="false">IF(OR(A131="",E131=""),"",E131-F131)</f>
        <v/>
      </c>
      <c r="H131" s="15" t="str">
        <f aca="false">IF(G131="","",IF(G131&lt;0,"Surbooké",IF(G131=0,"Complet","Ouvert")))</f>
        <v/>
      </c>
      <c r="I131" s="11"/>
    </row>
    <row r="132" customFormat="false" ht="15" hidden="false" customHeight="false" outlineLevel="0" collapsed="false">
      <c r="A132" s="10"/>
      <c r="B132" s="16"/>
      <c r="C132" s="11"/>
      <c r="D132" s="11"/>
      <c r="E132" s="12"/>
      <c r="F132" s="14" t="str">
        <f aca="false">IF(A132="","",SUMIFS(Reservations!$G:$G,Reservations!$E:$E,A132,Reservations!$F:$F,B132,Reservations!$D:$D,C132))</f>
        <v/>
      </c>
      <c r="G132" s="14" t="str">
        <f aca="false">IF(OR(A132="",E132=""),"",E132-F132)</f>
        <v/>
      </c>
      <c r="H132" s="15" t="str">
        <f aca="false">IF(G132="","",IF(G132&lt;0,"Surbooké",IF(G132=0,"Complet","Ouvert")))</f>
        <v/>
      </c>
      <c r="I132" s="11"/>
    </row>
    <row r="133" customFormat="false" ht="15" hidden="false" customHeight="false" outlineLevel="0" collapsed="false">
      <c r="A133" s="10"/>
      <c r="B133" s="16"/>
      <c r="C133" s="11"/>
      <c r="D133" s="11"/>
      <c r="E133" s="12"/>
      <c r="F133" s="14" t="str">
        <f aca="false">IF(A133="","",SUMIFS(Reservations!$G:$G,Reservations!$E:$E,A133,Reservations!$F:$F,B133,Reservations!$D:$D,C133))</f>
        <v/>
      </c>
      <c r="G133" s="14" t="str">
        <f aca="false">IF(OR(A133="",E133=""),"",E133-F133)</f>
        <v/>
      </c>
      <c r="H133" s="15" t="str">
        <f aca="false">IF(G133="","",IF(G133&lt;0,"Surbooké",IF(G133=0,"Complet","Ouvert")))</f>
        <v/>
      </c>
      <c r="I133" s="11"/>
    </row>
    <row r="134" customFormat="false" ht="15" hidden="false" customHeight="false" outlineLevel="0" collapsed="false">
      <c r="A134" s="10"/>
      <c r="B134" s="16"/>
      <c r="C134" s="11"/>
      <c r="D134" s="11"/>
      <c r="E134" s="12"/>
      <c r="F134" s="14" t="str">
        <f aca="false">IF(A134="","",SUMIFS(Reservations!$G:$G,Reservations!$E:$E,A134,Reservations!$F:$F,B134,Reservations!$D:$D,C134))</f>
        <v/>
      </c>
      <c r="G134" s="14" t="str">
        <f aca="false">IF(OR(A134="",E134=""),"",E134-F134)</f>
        <v/>
      </c>
      <c r="H134" s="15" t="str">
        <f aca="false">IF(G134="","",IF(G134&lt;0,"Surbooké",IF(G134=0,"Complet","Ouvert")))</f>
        <v/>
      </c>
      <c r="I134" s="11"/>
    </row>
    <row r="135" customFormat="false" ht="15" hidden="false" customHeight="false" outlineLevel="0" collapsed="false">
      <c r="A135" s="10"/>
      <c r="B135" s="16"/>
      <c r="C135" s="11"/>
      <c r="D135" s="11"/>
      <c r="E135" s="12"/>
      <c r="F135" s="14" t="str">
        <f aca="false">IF(A135="","",SUMIFS(Reservations!$G:$G,Reservations!$E:$E,A135,Reservations!$F:$F,B135,Reservations!$D:$D,C135))</f>
        <v/>
      </c>
      <c r="G135" s="14" t="str">
        <f aca="false">IF(OR(A135="",E135=""),"",E135-F135)</f>
        <v/>
      </c>
      <c r="H135" s="15" t="str">
        <f aca="false">IF(G135="","",IF(G135&lt;0,"Surbooké",IF(G135=0,"Complet","Ouvert")))</f>
        <v/>
      </c>
      <c r="I135" s="11"/>
    </row>
    <row r="136" customFormat="false" ht="15" hidden="false" customHeight="false" outlineLevel="0" collapsed="false">
      <c r="A136" s="10"/>
      <c r="B136" s="16"/>
      <c r="C136" s="11"/>
      <c r="D136" s="11"/>
      <c r="E136" s="12"/>
      <c r="F136" s="14" t="str">
        <f aca="false">IF(A136="","",SUMIFS(Reservations!$G:$G,Reservations!$E:$E,A136,Reservations!$F:$F,B136,Reservations!$D:$D,C136))</f>
        <v/>
      </c>
      <c r="G136" s="14" t="str">
        <f aca="false">IF(OR(A136="",E136=""),"",E136-F136)</f>
        <v/>
      </c>
      <c r="H136" s="15" t="str">
        <f aca="false">IF(G136="","",IF(G136&lt;0,"Surbooké",IF(G136=0,"Complet","Ouvert")))</f>
        <v/>
      </c>
      <c r="I136" s="11"/>
    </row>
    <row r="137" customFormat="false" ht="15" hidden="false" customHeight="false" outlineLevel="0" collapsed="false">
      <c r="A137" s="10"/>
      <c r="B137" s="16"/>
      <c r="C137" s="11"/>
      <c r="D137" s="11"/>
      <c r="E137" s="12"/>
      <c r="F137" s="14" t="str">
        <f aca="false">IF(A137="","",SUMIFS(Reservations!$G:$G,Reservations!$E:$E,A137,Reservations!$F:$F,B137,Reservations!$D:$D,C137))</f>
        <v/>
      </c>
      <c r="G137" s="14" t="str">
        <f aca="false">IF(OR(A137="",E137=""),"",E137-F137)</f>
        <v/>
      </c>
      <c r="H137" s="15" t="str">
        <f aca="false">IF(G137="","",IF(G137&lt;0,"Surbooké",IF(G137=0,"Complet","Ouvert")))</f>
        <v/>
      </c>
      <c r="I137" s="11"/>
    </row>
    <row r="138" customFormat="false" ht="15" hidden="false" customHeight="false" outlineLevel="0" collapsed="false">
      <c r="A138" s="10"/>
      <c r="B138" s="16"/>
      <c r="C138" s="11"/>
      <c r="D138" s="11"/>
      <c r="E138" s="12"/>
      <c r="F138" s="14" t="str">
        <f aca="false">IF(A138="","",SUMIFS(Reservations!$G:$G,Reservations!$E:$E,A138,Reservations!$F:$F,B138,Reservations!$D:$D,C138))</f>
        <v/>
      </c>
      <c r="G138" s="14" t="str">
        <f aca="false">IF(OR(A138="",E138=""),"",E138-F138)</f>
        <v/>
      </c>
      <c r="H138" s="15" t="str">
        <f aca="false">IF(G138="","",IF(G138&lt;0,"Surbooké",IF(G138=0,"Complet","Ouvert")))</f>
        <v/>
      </c>
      <c r="I138" s="11"/>
    </row>
    <row r="139" customFormat="false" ht="15" hidden="false" customHeight="false" outlineLevel="0" collapsed="false">
      <c r="A139" s="10"/>
      <c r="B139" s="16"/>
      <c r="C139" s="11"/>
      <c r="D139" s="11"/>
      <c r="E139" s="12"/>
      <c r="F139" s="14" t="str">
        <f aca="false">IF(A139="","",SUMIFS(Reservations!$G:$G,Reservations!$E:$E,A139,Reservations!$F:$F,B139,Reservations!$D:$D,C139))</f>
        <v/>
      </c>
      <c r="G139" s="14" t="str">
        <f aca="false">IF(OR(A139="",E139=""),"",E139-F139)</f>
        <v/>
      </c>
      <c r="H139" s="15" t="str">
        <f aca="false">IF(G139="","",IF(G139&lt;0,"Surbooké",IF(G139=0,"Complet","Ouvert")))</f>
        <v/>
      </c>
      <c r="I139" s="11"/>
    </row>
    <row r="140" customFormat="false" ht="15" hidden="false" customHeight="false" outlineLevel="0" collapsed="false">
      <c r="A140" s="10"/>
      <c r="B140" s="16"/>
      <c r="C140" s="11"/>
      <c r="D140" s="11"/>
      <c r="E140" s="12"/>
      <c r="F140" s="14" t="str">
        <f aca="false">IF(A140="","",SUMIFS(Reservations!$G:$G,Reservations!$E:$E,A140,Reservations!$F:$F,B140,Reservations!$D:$D,C140))</f>
        <v/>
      </c>
      <c r="G140" s="14" t="str">
        <f aca="false">IF(OR(A140="",E140=""),"",E140-F140)</f>
        <v/>
      </c>
      <c r="H140" s="15" t="str">
        <f aca="false">IF(G140="","",IF(G140&lt;0,"Surbooké",IF(G140=0,"Complet","Ouvert")))</f>
        <v/>
      </c>
      <c r="I140" s="11"/>
    </row>
    <row r="141" customFormat="false" ht="15" hidden="false" customHeight="false" outlineLevel="0" collapsed="false">
      <c r="A141" s="10"/>
      <c r="B141" s="16"/>
      <c r="C141" s="11"/>
      <c r="D141" s="11"/>
      <c r="E141" s="12"/>
      <c r="F141" s="14" t="str">
        <f aca="false">IF(A141="","",SUMIFS(Reservations!$G:$G,Reservations!$E:$E,A141,Reservations!$F:$F,B141,Reservations!$D:$D,C141))</f>
        <v/>
      </c>
      <c r="G141" s="14" t="str">
        <f aca="false">IF(OR(A141="",E141=""),"",E141-F141)</f>
        <v/>
      </c>
      <c r="H141" s="15" t="str">
        <f aca="false">IF(G141="","",IF(G141&lt;0,"Surbooké",IF(G141=0,"Complet","Ouvert")))</f>
        <v/>
      </c>
      <c r="I141" s="11"/>
    </row>
    <row r="142" customFormat="false" ht="15" hidden="false" customHeight="false" outlineLevel="0" collapsed="false">
      <c r="A142" s="10"/>
      <c r="B142" s="16"/>
      <c r="C142" s="11"/>
      <c r="D142" s="11"/>
      <c r="E142" s="12"/>
      <c r="F142" s="14" t="str">
        <f aca="false">IF(A142="","",SUMIFS(Reservations!$G:$G,Reservations!$E:$E,A142,Reservations!$F:$F,B142,Reservations!$D:$D,C142))</f>
        <v/>
      </c>
      <c r="G142" s="14" t="str">
        <f aca="false">IF(OR(A142="",E142=""),"",E142-F142)</f>
        <v/>
      </c>
      <c r="H142" s="15" t="str">
        <f aca="false">IF(G142="","",IF(G142&lt;0,"Surbooké",IF(G142=0,"Complet","Ouvert")))</f>
        <v/>
      </c>
      <c r="I142" s="11"/>
    </row>
    <row r="143" customFormat="false" ht="15" hidden="false" customHeight="false" outlineLevel="0" collapsed="false">
      <c r="A143" s="10"/>
      <c r="B143" s="16"/>
      <c r="C143" s="11"/>
      <c r="D143" s="11"/>
      <c r="E143" s="12"/>
      <c r="F143" s="14" t="str">
        <f aca="false">IF(A143="","",SUMIFS(Reservations!$G:$G,Reservations!$E:$E,A143,Reservations!$F:$F,B143,Reservations!$D:$D,C143))</f>
        <v/>
      </c>
      <c r="G143" s="14" t="str">
        <f aca="false">IF(OR(A143="",E143=""),"",E143-F143)</f>
        <v/>
      </c>
      <c r="H143" s="15" t="str">
        <f aca="false">IF(G143="","",IF(G143&lt;0,"Surbooké",IF(G143=0,"Complet","Ouvert")))</f>
        <v/>
      </c>
      <c r="I143" s="11"/>
    </row>
    <row r="144" customFormat="false" ht="15" hidden="false" customHeight="false" outlineLevel="0" collapsed="false">
      <c r="A144" s="10"/>
      <c r="B144" s="16"/>
      <c r="C144" s="11"/>
      <c r="D144" s="11"/>
      <c r="E144" s="12"/>
      <c r="F144" s="14" t="str">
        <f aca="false">IF(A144="","",SUMIFS(Reservations!$G:$G,Reservations!$E:$E,A144,Reservations!$F:$F,B144,Reservations!$D:$D,C144))</f>
        <v/>
      </c>
      <c r="G144" s="14" t="str">
        <f aca="false">IF(OR(A144="",E144=""),"",E144-F144)</f>
        <v/>
      </c>
      <c r="H144" s="15" t="str">
        <f aca="false">IF(G144="","",IF(G144&lt;0,"Surbooké",IF(G144=0,"Complet","Ouvert")))</f>
        <v/>
      </c>
      <c r="I144" s="11"/>
    </row>
    <row r="145" customFormat="false" ht="15" hidden="false" customHeight="false" outlineLevel="0" collapsed="false">
      <c r="A145" s="10"/>
      <c r="B145" s="16"/>
      <c r="C145" s="11"/>
      <c r="D145" s="11"/>
      <c r="E145" s="12"/>
      <c r="F145" s="14" t="str">
        <f aca="false">IF(A145="","",SUMIFS(Reservations!$G:$G,Reservations!$E:$E,A145,Reservations!$F:$F,B145,Reservations!$D:$D,C145))</f>
        <v/>
      </c>
      <c r="G145" s="14" t="str">
        <f aca="false">IF(OR(A145="",E145=""),"",E145-F145)</f>
        <v/>
      </c>
      <c r="H145" s="15" t="str">
        <f aca="false">IF(G145="","",IF(G145&lt;0,"Surbooké",IF(G145=0,"Complet","Ouvert")))</f>
        <v/>
      </c>
      <c r="I145" s="11"/>
    </row>
    <row r="146" customFormat="false" ht="15" hidden="false" customHeight="false" outlineLevel="0" collapsed="false">
      <c r="A146" s="10"/>
      <c r="B146" s="16"/>
      <c r="C146" s="11"/>
      <c r="D146" s="11"/>
      <c r="E146" s="12"/>
      <c r="F146" s="14" t="str">
        <f aca="false">IF(A146="","",SUMIFS(Reservations!$G:$G,Reservations!$E:$E,A146,Reservations!$F:$F,B146,Reservations!$D:$D,C146))</f>
        <v/>
      </c>
      <c r="G146" s="14" t="str">
        <f aca="false">IF(OR(A146="",E146=""),"",E146-F146)</f>
        <v/>
      </c>
      <c r="H146" s="15" t="str">
        <f aca="false">IF(G146="","",IF(G146&lt;0,"Surbooké",IF(G146=0,"Complet","Ouvert")))</f>
        <v/>
      </c>
      <c r="I146" s="11"/>
    </row>
    <row r="147" customFormat="false" ht="15" hidden="false" customHeight="false" outlineLevel="0" collapsed="false">
      <c r="A147" s="10"/>
      <c r="B147" s="16"/>
      <c r="C147" s="11"/>
      <c r="D147" s="11"/>
      <c r="E147" s="12"/>
      <c r="F147" s="14" t="str">
        <f aca="false">IF(A147="","",SUMIFS(Reservations!$G:$G,Reservations!$E:$E,A147,Reservations!$F:$F,B147,Reservations!$D:$D,C147))</f>
        <v/>
      </c>
      <c r="G147" s="14" t="str">
        <f aca="false">IF(OR(A147="",E147=""),"",E147-F147)</f>
        <v/>
      </c>
      <c r="H147" s="15" t="str">
        <f aca="false">IF(G147="","",IF(G147&lt;0,"Surbooké",IF(G147=0,"Complet","Ouvert")))</f>
        <v/>
      </c>
      <c r="I147" s="11"/>
    </row>
    <row r="148" customFormat="false" ht="15" hidden="false" customHeight="false" outlineLevel="0" collapsed="false">
      <c r="A148" s="10"/>
      <c r="B148" s="16"/>
      <c r="C148" s="11"/>
      <c r="D148" s="11"/>
      <c r="E148" s="12"/>
      <c r="F148" s="14" t="str">
        <f aca="false">IF(A148="","",SUMIFS(Reservations!$G:$G,Reservations!$E:$E,A148,Reservations!$F:$F,B148,Reservations!$D:$D,C148))</f>
        <v/>
      </c>
      <c r="G148" s="14" t="str">
        <f aca="false">IF(OR(A148="",E148=""),"",E148-F148)</f>
        <v/>
      </c>
      <c r="H148" s="15" t="str">
        <f aca="false">IF(G148="","",IF(G148&lt;0,"Surbooké",IF(G148=0,"Complet","Ouvert")))</f>
        <v/>
      </c>
      <c r="I148" s="11"/>
    </row>
    <row r="149" customFormat="false" ht="15" hidden="false" customHeight="false" outlineLevel="0" collapsed="false">
      <c r="A149" s="10"/>
      <c r="B149" s="16"/>
      <c r="C149" s="11"/>
      <c r="D149" s="11"/>
      <c r="E149" s="12"/>
      <c r="F149" s="14" t="str">
        <f aca="false">IF(A149="","",SUMIFS(Reservations!$G:$G,Reservations!$E:$E,A149,Reservations!$F:$F,B149,Reservations!$D:$D,C149))</f>
        <v/>
      </c>
      <c r="G149" s="14" t="str">
        <f aca="false">IF(OR(A149="",E149=""),"",E149-F149)</f>
        <v/>
      </c>
      <c r="H149" s="15" t="str">
        <f aca="false">IF(G149="","",IF(G149&lt;0,"Surbooké",IF(G149=0,"Complet","Ouvert")))</f>
        <v/>
      </c>
      <c r="I149" s="11"/>
    </row>
    <row r="150" customFormat="false" ht="15" hidden="false" customHeight="false" outlineLevel="0" collapsed="false">
      <c r="A150" s="10"/>
      <c r="B150" s="16"/>
      <c r="C150" s="11"/>
      <c r="D150" s="11"/>
      <c r="E150" s="12"/>
      <c r="F150" s="14" t="str">
        <f aca="false">IF(A150="","",SUMIFS(Reservations!$G:$G,Reservations!$E:$E,A150,Reservations!$F:$F,B150,Reservations!$D:$D,C150))</f>
        <v/>
      </c>
      <c r="G150" s="14" t="str">
        <f aca="false">IF(OR(A150="",E150=""),"",E150-F150)</f>
        <v/>
      </c>
      <c r="H150" s="15" t="str">
        <f aca="false">IF(G150="","",IF(G150&lt;0,"Surbooké",IF(G150=0,"Complet","Ouvert")))</f>
        <v/>
      </c>
      <c r="I150" s="11"/>
    </row>
    <row r="151" customFormat="false" ht="15" hidden="false" customHeight="false" outlineLevel="0" collapsed="false">
      <c r="A151" s="10"/>
      <c r="B151" s="16"/>
      <c r="C151" s="11"/>
      <c r="D151" s="11"/>
      <c r="E151" s="12"/>
      <c r="F151" s="14" t="str">
        <f aca="false">IF(A151="","",SUMIFS(Reservations!$G:$G,Reservations!$E:$E,A151,Reservations!$F:$F,B151,Reservations!$D:$D,C151))</f>
        <v/>
      </c>
      <c r="G151" s="14" t="str">
        <f aca="false">IF(OR(A151="",E151=""),"",E151-F151)</f>
        <v/>
      </c>
      <c r="H151" s="15" t="str">
        <f aca="false">IF(G151="","",IF(G151&lt;0,"Surbooké",IF(G151=0,"Complet","Ouvert")))</f>
        <v/>
      </c>
      <c r="I151" s="11"/>
    </row>
    <row r="152" customFormat="false" ht="15" hidden="false" customHeight="false" outlineLevel="0" collapsed="false">
      <c r="A152" s="10"/>
      <c r="B152" s="16"/>
      <c r="C152" s="11"/>
      <c r="D152" s="11"/>
      <c r="E152" s="12"/>
      <c r="F152" s="14" t="str">
        <f aca="false">IF(A152="","",SUMIFS(Reservations!$G:$G,Reservations!$E:$E,A152,Reservations!$F:$F,B152,Reservations!$D:$D,C152))</f>
        <v/>
      </c>
      <c r="G152" s="14" t="str">
        <f aca="false">IF(OR(A152="",E152=""),"",E152-F152)</f>
        <v/>
      </c>
      <c r="H152" s="15" t="str">
        <f aca="false">IF(G152="","",IF(G152&lt;0,"Surbooké",IF(G152=0,"Complet","Ouvert")))</f>
        <v/>
      </c>
      <c r="I152" s="11"/>
    </row>
    <row r="153" customFormat="false" ht="15" hidden="false" customHeight="false" outlineLevel="0" collapsed="false">
      <c r="A153" s="10"/>
      <c r="B153" s="16"/>
      <c r="C153" s="11"/>
      <c r="D153" s="11"/>
      <c r="E153" s="12"/>
      <c r="F153" s="14" t="str">
        <f aca="false">IF(A153="","",SUMIFS(Reservations!$G:$G,Reservations!$E:$E,A153,Reservations!$F:$F,B153,Reservations!$D:$D,C153))</f>
        <v/>
      </c>
      <c r="G153" s="14" t="str">
        <f aca="false">IF(OR(A153="",E153=""),"",E153-F153)</f>
        <v/>
      </c>
      <c r="H153" s="15" t="str">
        <f aca="false">IF(G153="","",IF(G153&lt;0,"Surbooké",IF(G153=0,"Complet","Ouvert")))</f>
        <v/>
      </c>
      <c r="I153" s="11"/>
    </row>
    <row r="154" customFormat="false" ht="15" hidden="false" customHeight="false" outlineLevel="0" collapsed="false">
      <c r="A154" s="10"/>
      <c r="B154" s="16"/>
      <c r="C154" s="11"/>
      <c r="D154" s="11"/>
      <c r="E154" s="12"/>
      <c r="F154" s="14" t="str">
        <f aca="false">IF(A154="","",SUMIFS(Reservations!$G:$G,Reservations!$E:$E,A154,Reservations!$F:$F,B154,Reservations!$D:$D,C154))</f>
        <v/>
      </c>
      <c r="G154" s="14" t="str">
        <f aca="false">IF(OR(A154="",E154=""),"",E154-F154)</f>
        <v/>
      </c>
      <c r="H154" s="15" t="str">
        <f aca="false">IF(G154="","",IF(G154&lt;0,"Surbooké",IF(G154=0,"Complet","Ouvert")))</f>
        <v/>
      </c>
      <c r="I154" s="11"/>
    </row>
    <row r="155" customFormat="false" ht="15" hidden="false" customHeight="false" outlineLevel="0" collapsed="false">
      <c r="A155" s="10"/>
      <c r="B155" s="16"/>
      <c r="C155" s="11"/>
      <c r="D155" s="11"/>
      <c r="E155" s="12"/>
      <c r="F155" s="14" t="str">
        <f aca="false">IF(A155="","",SUMIFS(Reservations!$G:$G,Reservations!$E:$E,A155,Reservations!$F:$F,B155,Reservations!$D:$D,C155))</f>
        <v/>
      </c>
      <c r="G155" s="14" t="str">
        <f aca="false">IF(OR(A155="",E155=""),"",E155-F155)</f>
        <v/>
      </c>
      <c r="H155" s="15" t="str">
        <f aca="false">IF(G155="","",IF(G155&lt;0,"Surbooké",IF(G155=0,"Complet","Ouvert")))</f>
        <v/>
      </c>
      <c r="I155" s="11"/>
    </row>
    <row r="156" customFormat="false" ht="15" hidden="false" customHeight="false" outlineLevel="0" collapsed="false">
      <c r="A156" s="10"/>
      <c r="B156" s="16"/>
      <c r="C156" s="11"/>
      <c r="D156" s="11"/>
      <c r="E156" s="12"/>
      <c r="F156" s="14" t="str">
        <f aca="false">IF(A156="","",SUMIFS(Reservations!$G:$G,Reservations!$E:$E,A156,Reservations!$F:$F,B156,Reservations!$D:$D,C156))</f>
        <v/>
      </c>
      <c r="G156" s="14" t="str">
        <f aca="false">IF(OR(A156="",E156=""),"",E156-F156)</f>
        <v/>
      </c>
      <c r="H156" s="15" t="str">
        <f aca="false">IF(G156="","",IF(G156&lt;0,"Surbooké",IF(G156=0,"Complet","Ouvert")))</f>
        <v/>
      </c>
      <c r="I156" s="11"/>
    </row>
    <row r="157" customFormat="false" ht="15" hidden="false" customHeight="false" outlineLevel="0" collapsed="false">
      <c r="A157" s="10"/>
      <c r="B157" s="16"/>
      <c r="C157" s="11"/>
      <c r="D157" s="11"/>
      <c r="E157" s="12"/>
      <c r="F157" s="14" t="str">
        <f aca="false">IF(A157="","",SUMIFS(Reservations!$G:$G,Reservations!$E:$E,A157,Reservations!$F:$F,B157,Reservations!$D:$D,C157))</f>
        <v/>
      </c>
      <c r="G157" s="14" t="str">
        <f aca="false">IF(OR(A157="",E157=""),"",E157-F157)</f>
        <v/>
      </c>
      <c r="H157" s="15" t="str">
        <f aca="false">IF(G157="","",IF(G157&lt;0,"Surbooké",IF(G157=0,"Complet","Ouvert")))</f>
        <v/>
      </c>
      <c r="I157" s="11"/>
    </row>
    <row r="158" customFormat="false" ht="15" hidden="false" customHeight="false" outlineLevel="0" collapsed="false">
      <c r="A158" s="10"/>
      <c r="B158" s="16"/>
      <c r="C158" s="11"/>
      <c r="D158" s="11"/>
      <c r="E158" s="12"/>
      <c r="F158" s="14" t="str">
        <f aca="false">IF(A158="","",SUMIFS(Reservations!$G:$G,Reservations!$E:$E,A158,Reservations!$F:$F,B158,Reservations!$D:$D,C158))</f>
        <v/>
      </c>
      <c r="G158" s="14" t="str">
        <f aca="false">IF(OR(A158="",E158=""),"",E158-F158)</f>
        <v/>
      </c>
      <c r="H158" s="15" t="str">
        <f aca="false">IF(G158="","",IF(G158&lt;0,"Surbooké",IF(G158=0,"Complet","Ouvert")))</f>
        <v/>
      </c>
      <c r="I158" s="11"/>
    </row>
    <row r="159" customFormat="false" ht="15" hidden="false" customHeight="false" outlineLevel="0" collapsed="false">
      <c r="A159" s="10"/>
      <c r="B159" s="16"/>
      <c r="C159" s="11"/>
      <c r="D159" s="11"/>
      <c r="E159" s="12"/>
      <c r="F159" s="14" t="str">
        <f aca="false">IF(A159="","",SUMIFS(Reservations!$G:$G,Reservations!$E:$E,A159,Reservations!$F:$F,B159,Reservations!$D:$D,C159))</f>
        <v/>
      </c>
      <c r="G159" s="14" t="str">
        <f aca="false">IF(OR(A159="",E159=""),"",E159-F159)</f>
        <v/>
      </c>
      <c r="H159" s="15" t="str">
        <f aca="false">IF(G159="","",IF(G159&lt;0,"Surbooké",IF(G159=0,"Complet","Ouvert")))</f>
        <v/>
      </c>
      <c r="I159" s="11"/>
    </row>
    <row r="160" customFormat="false" ht="15" hidden="false" customHeight="false" outlineLevel="0" collapsed="false">
      <c r="A160" s="10"/>
      <c r="B160" s="16"/>
      <c r="C160" s="11"/>
      <c r="D160" s="11"/>
      <c r="E160" s="12"/>
      <c r="F160" s="14" t="str">
        <f aca="false">IF(A160="","",SUMIFS(Reservations!$G:$G,Reservations!$E:$E,A160,Reservations!$F:$F,B160,Reservations!$D:$D,C160))</f>
        <v/>
      </c>
      <c r="G160" s="14" t="str">
        <f aca="false">IF(OR(A160="",E160=""),"",E160-F160)</f>
        <v/>
      </c>
      <c r="H160" s="15" t="str">
        <f aca="false">IF(G160="","",IF(G160&lt;0,"Surbooké",IF(G160=0,"Complet","Ouvert")))</f>
        <v/>
      </c>
      <c r="I160" s="11"/>
    </row>
    <row r="161" customFormat="false" ht="15" hidden="false" customHeight="false" outlineLevel="0" collapsed="false">
      <c r="A161" s="10"/>
      <c r="B161" s="16"/>
      <c r="C161" s="11"/>
      <c r="D161" s="11"/>
      <c r="E161" s="12"/>
      <c r="F161" s="14" t="str">
        <f aca="false">IF(A161="","",SUMIFS(Reservations!$G:$G,Reservations!$E:$E,A161,Reservations!$F:$F,B161,Reservations!$D:$D,C161))</f>
        <v/>
      </c>
      <c r="G161" s="14" t="str">
        <f aca="false">IF(OR(A161="",E161=""),"",E161-F161)</f>
        <v/>
      </c>
      <c r="H161" s="15" t="str">
        <f aca="false">IF(G161="","",IF(G161&lt;0,"Surbooké",IF(G161=0,"Complet","Ouvert")))</f>
        <v/>
      </c>
      <c r="I161" s="11"/>
    </row>
    <row r="162" customFormat="false" ht="15" hidden="false" customHeight="false" outlineLevel="0" collapsed="false">
      <c r="A162" s="10"/>
      <c r="B162" s="16"/>
      <c r="C162" s="11"/>
      <c r="D162" s="11"/>
      <c r="E162" s="12"/>
      <c r="F162" s="14" t="str">
        <f aca="false">IF(A162="","",SUMIFS(Reservations!$G:$G,Reservations!$E:$E,A162,Reservations!$F:$F,B162,Reservations!$D:$D,C162))</f>
        <v/>
      </c>
      <c r="G162" s="14" t="str">
        <f aca="false">IF(OR(A162="",E162=""),"",E162-F162)</f>
        <v/>
      </c>
      <c r="H162" s="15" t="str">
        <f aca="false">IF(G162="","",IF(G162&lt;0,"Surbooké",IF(G162=0,"Complet","Ouvert")))</f>
        <v/>
      </c>
      <c r="I162" s="11"/>
    </row>
    <row r="163" customFormat="false" ht="15" hidden="false" customHeight="false" outlineLevel="0" collapsed="false">
      <c r="A163" s="10"/>
      <c r="B163" s="16"/>
      <c r="C163" s="11"/>
      <c r="D163" s="11"/>
      <c r="E163" s="12"/>
      <c r="F163" s="14" t="str">
        <f aca="false">IF(A163="","",SUMIFS(Reservations!$G:$G,Reservations!$E:$E,A163,Reservations!$F:$F,B163,Reservations!$D:$D,C163))</f>
        <v/>
      </c>
      <c r="G163" s="14" t="str">
        <f aca="false">IF(OR(A163="",E163=""),"",E163-F163)</f>
        <v/>
      </c>
      <c r="H163" s="15" t="str">
        <f aca="false">IF(G163="","",IF(G163&lt;0,"Surbooké",IF(G163=0,"Complet","Ouvert")))</f>
        <v/>
      </c>
      <c r="I163" s="11"/>
    </row>
    <row r="164" customFormat="false" ht="15" hidden="false" customHeight="false" outlineLevel="0" collapsed="false">
      <c r="A164" s="10"/>
      <c r="B164" s="16"/>
      <c r="C164" s="11"/>
      <c r="D164" s="11"/>
      <c r="E164" s="12"/>
      <c r="F164" s="14" t="str">
        <f aca="false">IF(A164="","",SUMIFS(Reservations!$G:$G,Reservations!$E:$E,A164,Reservations!$F:$F,B164,Reservations!$D:$D,C164))</f>
        <v/>
      </c>
      <c r="G164" s="14" t="str">
        <f aca="false">IF(OR(A164="",E164=""),"",E164-F164)</f>
        <v/>
      </c>
      <c r="H164" s="15" t="str">
        <f aca="false">IF(G164="","",IF(G164&lt;0,"Surbooké",IF(G164=0,"Complet","Ouvert")))</f>
        <v/>
      </c>
      <c r="I164" s="11"/>
    </row>
    <row r="165" customFormat="false" ht="15" hidden="false" customHeight="false" outlineLevel="0" collapsed="false">
      <c r="A165" s="10"/>
      <c r="B165" s="16"/>
      <c r="C165" s="11"/>
      <c r="D165" s="11"/>
      <c r="E165" s="12"/>
      <c r="F165" s="14" t="str">
        <f aca="false">IF(A165="","",SUMIFS(Reservations!$G:$G,Reservations!$E:$E,A165,Reservations!$F:$F,B165,Reservations!$D:$D,C165))</f>
        <v/>
      </c>
      <c r="G165" s="14" t="str">
        <f aca="false">IF(OR(A165="",E165=""),"",E165-F165)</f>
        <v/>
      </c>
      <c r="H165" s="15" t="str">
        <f aca="false">IF(G165="","",IF(G165&lt;0,"Surbooké",IF(G165=0,"Complet","Ouvert")))</f>
        <v/>
      </c>
      <c r="I165" s="11"/>
    </row>
    <row r="166" customFormat="false" ht="15" hidden="false" customHeight="false" outlineLevel="0" collapsed="false">
      <c r="A166" s="10"/>
      <c r="B166" s="16"/>
      <c r="C166" s="11"/>
      <c r="D166" s="11"/>
      <c r="E166" s="12"/>
      <c r="F166" s="14" t="str">
        <f aca="false">IF(A166="","",SUMIFS(Reservations!$G:$G,Reservations!$E:$E,A166,Reservations!$F:$F,B166,Reservations!$D:$D,C166))</f>
        <v/>
      </c>
      <c r="G166" s="14" t="str">
        <f aca="false">IF(OR(A166="",E166=""),"",E166-F166)</f>
        <v/>
      </c>
      <c r="H166" s="15" t="str">
        <f aca="false">IF(G166="","",IF(G166&lt;0,"Surbooké",IF(G166=0,"Complet","Ouvert")))</f>
        <v/>
      </c>
      <c r="I166" s="11"/>
    </row>
    <row r="167" customFormat="false" ht="15" hidden="false" customHeight="false" outlineLevel="0" collapsed="false">
      <c r="A167" s="10"/>
      <c r="B167" s="16"/>
      <c r="C167" s="11"/>
      <c r="D167" s="11"/>
      <c r="E167" s="12"/>
      <c r="F167" s="14" t="str">
        <f aca="false">IF(A167="","",SUMIFS(Reservations!$G:$G,Reservations!$E:$E,A167,Reservations!$F:$F,B167,Reservations!$D:$D,C167))</f>
        <v/>
      </c>
      <c r="G167" s="14" t="str">
        <f aca="false">IF(OR(A167="",E167=""),"",E167-F167)</f>
        <v/>
      </c>
      <c r="H167" s="15" t="str">
        <f aca="false">IF(G167="","",IF(G167&lt;0,"Surbooké",IF(G167=0,"Complet","Ouvert")))</f>
        <v/>
      </c>
      <c r="I167" s="11"/>
    </row>
    <row r="168" customFormat="false" ht="15" hidden="false" customHeight="false" outlineLevel="0" collapsed="false">
      <c r="A168" s="10"/>
      <c r="B168" s="16"/>
      <c r="C168" s="11"/>
      <c r="D168" s="11"/>
      <c r="E168" s="12"/>
      <c r="F168" s="14" t="str">
        <f aca="false">IF(A168="","",SUMIFS(Reservations!$G:$G,Reservations!$E:$E,A168,Reservations!$F:$F,B168,Reservations!$D:$D,C168))</f>
        <v/>
      </c>
      <c r="G168" s="14" t="str">
        <f aca="false">IF(OR(A168="",E168=""),"",E168-F168)</f>
        <v/>
      </c>
      <c r="H168" s="15" t="str">
        <f aca="false">IF(G168="","",IF(G168&lt;0,"Surbooké",IF(G168=0,"Complet","Ouvert")))</f>
        <v/>
      </c>
      <c r="I168" s="11"/>
    </row>
    <row r="169" customFormat="false" ht="15" hidden="false" customHeight="false" outlineLevel="0" collapsed="false">
      <c r="A169" s="10"/>
      <c r="B169" s="16"/>
      <c r="C169" s="11"/>
      <c r="D169" s="11"/>
      <c r="E169" s="12"/>
      <c r="F169" s="14" t="str">
        <f aca="false">IF(A169="","",SUMIFS(Reservations!$G:$G,Reservations!$E:$E,A169,Reservations!$F:$F,B169,Reservations!$D:$D,C169))</f>
        <v/>
      </c>
      <c r="G169" s="14" t="str">
        <f aca="false">IF(OR(A169="",E169=""),"",E169-F169)</f>
        <v/>
      </c>
      <c r="H169" s="15" t="str">
        <f aca="false">IF(G169="","",IF(G169&lt;0,"Surbooké",IF(G169=0,"Complet","Ouvert")))</f>
        <v/>
      </c>
      <c r="I169" s="11"/>
    </row>
    <row r="170" customFormat="false" ht="15" hidden="false" customHeight="false" outlineLevel="0" collapsed="false">
      <c r="A170" s="10"/>
      <c r="B170" s="16"/>
      <c r="C170" s="11"/>
      <c r="D170" s="11"/>
      <c r="E170" s="12"/>
      <c r="F170" s="14" t="str">
        <f aca="false">IF(A170="","",SUMIFS(Reservations!$G:$G,Reservations!$E:$E,A170,Reservations!$F:$F,B170,Reservations!$D:$D,C170))</f>
        <v/>
      </c>
      <c r="G170" s="14" t="str">
        <f aca="false">IF(OR(A170="",E170=""),"",E170-F170)</f>
        <v/>
      </c>
      <c r="H170" s="15" t="str">
        <f aca="false">IF(G170="","",IF(G170&lt;0,"Surbooké",IF(G170=0,"Complet","Ouvert")))</f>
        <v/>
      </c>
      <c r="I170" s="11"/>
    </row>
    <row r="171" customFormat="false" ht="15" hidden="false" customHeight="false" outlineLevel="0" collapsed="false">
      <c r="A171" s="10"/>
      <c r="B171" s="16"/>
      <c r="C171" s="11"/>
      <c r="D171" s="11"/>
      <c r="E171" s="12"/>
      <c r="F171" s="14" t="str">
        <f aca="false">IF(A171="","",SUMIFS(Reservations!$G:$G,Reservations!$E:$E,A171,Reservations!$F:$F,B171,Reservations!$D:$D,C171))</f>
        <v/>
      </c>
      <c r="G171" s="14" t="str">
        <f aca="false">IF(OR(A171="",E171=""),"",E171-F171)</f>
        <v/>
      </c>
      <c r="H171" s="15" t="str">
        <f aca="false">IF(G171="","",IF(G171&lt;0,"Surbooké",IF(G171=0,"Complet","Ouvert")))</f>
        <v/>
      </c>
      <c r="I171" s="11"/>
    </row>
    <row r="172" customFormat="false" ht="15" hidden="false" customHeight="false" outlineLevel="0" collapsed="false">
      <c r="A172" s="10"/>
      <c r="B172" s="16"/>
      <c r="C172" s="11"/>
      <c r="D172" s="11"/>
      <c r="E172" s="12"/>
      <c r="F172" s="14" t="str">
        <f aca="false">IF(A172="","",SUMIFS(Reservations!$G:$G,Reservations!$E:$E,A172,Reservations!$F:$F,B172,Reservations!$D:$D,C172))</f>
        <v/>
      </c>
      <c r="G172" s="14" t="str">
        <f aca="false">IF(OR(A172="",E172=""),"",E172-F172)</f>
        <v/>
      </c>
      <c r="H172" s="15" t="str">
        <f aca="false">IF(G172="","",IF(G172&lt;0,"Surbooké",IF(G172=0,"Complet","Ouvert")))</f>
        <v/>
      </c>
      <c r="I172" s="11"/>
    </row>
    <row r="173" customFormat="false" ht="15" hidden="false" customHeight="false" outlineLevel="0" collapsed="false">
      <c r="A173" s="10"/>
      <c r="B173" s="16"/>
      <c r="C173" s="11"/>
      <c r="D173" s="11"/>
      <c r="E173" s="12"/>
      <c r="F173" s="14" t="str">
        <f aca="false">IF(A173="","",SUMIFS(Reservations!$G:$G,Reservations!$E:$E,A173,Reservations!$F:$F,B173,Reservations!$D:$D,C173))</f>
        <v/>
      </c>
      <c r="G173" s="14" t="str">
        <f aca="false">IF(OR(A173="",E173=""),"",E173-F173)</f>
        <v/>
      </c>
      <c r="H173" s="15" t="str">
        <f aca="false">IF(G173="","",IF(G173&lt;0,"Surbooké",IF(G173=0,"Complet","Ouvert")))</f>
        <v/>
      </c>
      <c r="I173" s="11"/>
    </row>
    <row r="174" customFormat="false" ht="15" hidden="false" customHeight="false" outlineLevel="0" collapsed="false">
      <c r="A174" s="10"/>
      <c r="B174" s="16"/>
      <c r="C174" s="11"/>
      <c r="D174" s="11"/>
      <c r="E174" s="12"/>
      <c r="F174" s="14" t="str">
        <f aca="false">IF(A174="","",SUMIFS(Reservations!$G:$G,Reservations!$E:$E,A174,Reservations!$F:$F,B174,Reservations!$D:$D,C174))</f>
        <v/>
      </c>
      <c r="G174" s="14" t="str">
        <f aca="false">IF(OR(A174="",E174=""),"",E174-F174)</f>
        <v/>
      </c>
      <c r="H174" s="15" t="str">
        <f aca="false">IF(G174="","",IF(G174&lt;0,"Surbooké",IF(G174=0,"Complet","Ouvert")))</f>
        <v/>
      </c>
      <c r="I174" s="11"/>
    </row>
    <row r="175" customFormat="false" ht="15" hidden="false" customHeight="false" outlineLevel="0" collapsed="false">
      <c r="A175" s="10"/>
      <c r="B175" s="16"/>
      <c r="C175" s="11"/>
      <c r="D175" s="11"/>
      <c r="E175" s="12"/>
      <c r="F175" s="14" t="str">
        <f aca="false">IF(A175="","",SUMIFS(Reservations!$G:$G,Reservations!$E:$E,A175,Reservations!$F:$F,B175,Reservations!$D:$D,C175))</f>
        <v/>
      </c>
      <c r="G175" s="14" t="str">
        <f aca="false">IF(OR(A175="",E175=""),"",E175-F175)</f>
        <v/>
      </c>
      <c r="H175" s="15" t="str">
        <f aca="false">IF(G175="","",IF(G175&lt;0,"Surbooké",IF(G175=0,"Complet","Ouvert")))</f>
        <v/>
      </c>
      <c r="I175" s="11"/>
    </row>
    <row r="176" customFormat="false" ht="15" hidden="false" customHeight="false" outlineLevel="0" collapsed="false">
      <c r="A176" s="10"/>
      <c r="B176" s="16"/>
      <c r="C176" s="11"/>
      <c r="D176" s="11"/>
      <c r="E176" s="12"/>
      <c r="F176" s="14" t="str">
        <f aca="false">IF(A176="","",SUMIFS(Reservations!$G:$G,Reservations!$E:$E,A176,Reservations!$F:$F,B176,Reservations!$D:$D,C176))</f>
        <v/>
      </c>
      <c r="G176" s="14" t="str">
        <f aca="false">IF(OR(A176="",E176=""),"",E176-F176)</f>
        <v/>
      </c>
      <c r="H176" s="15" t="str">
        <f aca="false">IF(G176="","",IF(G176&lt;0,"Surbooké",IF(G176=0,"Complet","Ouvert")))</f>
        <v/>
      </c>
      <c r="I176" s="11"/>
    </row>
    <row r="177" customFormat="false" ht="15" hidden="false" customHeight="false" outlineLevel="0" collapsed="false">
      <c r="A177" s="10"/>
      <c r="B177" s="16"/>
      <c r="C177" s="11"/>
      <c r="D177" s="11"/>
      <c r="E177" s="12"/>
      <c r="F177" s="14" t="str">
        <f aca="false">IF(A177="","",SUMIFS(Reservations!$G:$G,Reservations!$E:$E,A177,Reservations!$F:$F,B177,Reservations!$D:$D,C177))</f>
        <v/>
      </c>
      <c r="G177" s="14" t="str">
        <f aca="false">IF(OR(A177="",E177=""),"",E177-F177)</f>
        <v/>
      </c>
      <c r="H177" s="15" t="str">
        <f aca="false">IF(G177="","",IF(G177&lt;0,"Surbooké",IF(G177=0,"Complet","Ouvert")))</f>
        <v/>
      </c>
      <c r="I177" s="11"/>
    </row>
    <row r="178" customFormat="false" ht="15" hidden="false" customHeight="false" outlineLevel="0" collapsed="false">
      <c r="A178" s="10"/>
      <c r="B178" s="16"/>
      <c r="C178" s="11"/>
      <c r="D178" s="11"/>
      <c r="E178" s="12"/>
      <c r="F178" s="14" t="str">
        <f aca="false">IF(A178="","",SUMIFS(Reservations!$G:$G,Reservations!$E:$E,A178,Reservations!$F:$F,B178,Reservations!$D:$D,C178))</f>
        <v/>
      </c>
      <c r="G178" s="14" t="str">
        <f aca="false">IF(OR(A178="",E178=""),"",E178-F178)</f>
        <v/>
      </c>
      <c r="H178" s="15" t="str">
        <f aca="false">IF(G178="","",IF(G178&lt;0,"Surbooké",IF(G178=0,"Complet","Ouvert")))</f>
        <v/>
      </c>
      <c r="I178" s="11"/>
    </row>
    <row r="179" customFormat="false" ht="15" hidden="false" customHeight="false" outlineLevel="0" collapsed="false">
      <c r="A179" s="10"/>
      <c r="B179" s="16"/>
      <c r="C179" s="11"/>
      <c r="D179" s="11"/>
      <c r="E179" s="12"/>
      <c r="F179" s="14" t="str">
        <f aca="false">IF(A179="","",SUMIFS(Reservations!$G:$G,Reservations!$E:$E,A179,Reservations!$F:$F,B179,Reservations!$D:$D,C179))</f>
        <v/>
      </c>
      <c r="G179" s="14" t="str">
        <f aca="false">IF(OR(A179="",E179=""),"",E179-F179)</f>
        <v/>
      </c>
      <c r="H179" s="15" t="str">
        <f aca="false">IF(G179="","",IF(G179&lt;0,"Surbooké",IF(G179=0,"Complet","Ouvert")))</f>
        <v/>
      </c>
      <c r="I179" s="11"/>
    </row>
    <row r="180" customFormat="false" ht="15" hidden="false" customHeight="false" outlineLevel="0" collapsed="false">
      <c r="A180" s="10"/>
      <c r="B180" s="16"/>
      <c r="C180" s="11"/>
      <c r="D180" s="11"/>
      <c r="E180" s="12"/>
      <c r="F180" s="14" t="str">
        <f aca="false">IF(A180="","",SUMIFS(Reservations!$G:$G,Reservations!$E:$E,A180,Reservations!$F:$F,B180,Reservations!$D:$D,C180))</f>
        <v/>
      </c>
      <c r="G180" s="14" t="str">
        <f aca="false">IF(OR(A180="",E180=""),"",E180-F180)</f>
        <v/>
      </c>
      <c r="H180" s="15" t="str">
        <f aca="false">IF(G180="","",IF(G180&lt;0,"Surbooké",IF(G180=0,"Complet","Ouvert")))</f>
        <v/>
      </c>
      <c r="I180" s="11"/>
    </row>
    <row r="181" customFormat="false" ht="15" hidden="false" customHeight="false" outlineLevel="0" collapsed="false">
      <c r="A181" s="10"/>
      <c r="B181" s="16"/>
      <c r="C181" s="11"/>
      <c r="D181" s="11"/>
      <c r="E181" s="12"/>
      <c r="F181" s="14" t="str">
        <f aca="false">IF(A181="","",SUMIFS(Reservations!$G:$G,Reservations!$E:$E,A181,Reservations!$F:$F,B181,Reservations!$D:$D,C181))</f>
        <v/>
      </c>
      <c r="G181" s="14" t="str">
        <f aca="false">IF(OR(A181="",E181=""),"",E181-F181)</f>
        <v/>
      </c>
      <c r="H181" s="15" t="str">
        <f aca="false">IF(G181="","",IF(G181&lt;0,"Surbooké",IF(G181=0,"Complet","Ouvert")))</f>
        <v/>
      </c>
      <c r="I181" s="11"/>
    </row>
    <row r="182" customFormat="false" ht="15" hidden="false" customHeight="false" outlineLevel="0" collapsed="false">
      <c r="A182" s="10"/>
      <c r="B182" s="16"/>
      <c r="C182" s="11"/>
      <c r="D182" s="11"/>
      <c r="E182" s="12"/>
      <c r="F182" s="14" t="str">
        <f aca="false">IF(A182="","",SUMIFS(Reservations!$G:$G,Reservations!$E:$E,A182,Reservations!$F:$F,B182,Reservations!$D:$D,C182))</f>
        <v/>
      </c>
      <c r="G182" s="14" t="str">
        <f aca="false">IF(OR(A182="",E182=""),"",E182-F182)</f>
        <v/>
      </c>
      <c r="H182" s="15" t="str">
        <f aca="false">IF(G182="","",IF(G182&lt;0,"Surbooké",IF(G182=0,"Complet","Ouvert")))</f>
        <v/>
      </c>
      <c r="I182" s="11"/>
    </row>
    <row r="183" customFormat="false" ht="15" hidden="false" customHeight="false" outlineLevel="0" collapsed="false">
      <c r="A183" s="10"/>
      <c r="B183" s="16"/>
      <c r="C183" s="11"/>
      <c r="D183" s="11"/>
      <c r="E183" s="12"/>
      <c r="F183" s="14" t="str">
        <f aca="false">IF(A183="","",SUMIFS(Reservations!$G:$G,Reservations!$E:$E,A183,Reservations!$F:$F,B183,Reservations!$D:$D,C183))</f>
        <v/>
      </c>
      <c r="G183" s="14" t="str">
        <f aca="false">IF(OR(A183="",E183=""),"",E183-F183)</f>
        <v/>
      </c>
      <c r="H183" s="15" t="str">
        <f aca="false">IF(G183="","",IF(G183&lt;0,"Surbooké",IF(G183=0,"Complet","Ouvert")))</f>
        <v/>
      </c>
      <c r="I183" s="11"/>
    </row>
    <row r="184" customFormat="false" ht="15" hidden="false" customHeight="false" outlineLevel="0" collapsed="false">
      <c r="A184" s="10"/>
      <c r="B184" s="16"/>
      <c r="C184" s="11"/>
      <c r="D184" s="11"/>
      <c r="E184" s="12"/>
      <c r="F184" s="14" t="str">
        <f aca="false">IF(A184="","",SUMIFS(Reservations!$G:$G,Reservations!$E:$E,A184,Reservations!$F:$F,B184,Reservations!$D:$D,C184))</f>
        <v/>
      </c>
      <c r="G184" s="14" t="str">
        <f aca="false">IF(OR(A184="",E184=""),"",E184-F184)</f>
        <v/>
      </c>
      <c r="H184" s="15" t="str">
        <f aca="false">IF(G184="","",IF(G184&lt;0,"Surbooké",IF(G184=0,"Complet","Ouvert")))</f>
        <v/>
      </c>
      <c r="I184" s="11"/>
    </row>
    <row r="185" customFormat="false" ht="15" hidden="false" customHeight="false" outlineLevel="0" collapsed="false">
      <c r="A185" s="10"/>
      <c r="B185" s="16"/>
      <c r="C185" s="11"/>
      <c r="D185" s="11"/>
      <c r="E185" s="12"/>
      <c r="F185" s="14" t="str">
        <f aca="false">IF(A185="","",SUMIFS(Reservations!$G:$G,Reservations!$E:$E,A185,Reservations!$F:$F,B185,Reservations!$D:$D,C185))</f>
        <v/>
      </c>
      <c r="G185" s="14" t="str">
        <f aca="false">IF(OR(A185="",E185=""),"",E185-F185)</f>
        <v/>
      </c>
      <c r="H185" s="15" t="str">
        <f aca="false">IF(G185="","",IF(G185&lt;0,"Surbooké",IF(G185=0,"Complet","Ouvert")))</f>
        <v/>
      </c>
      <c r="I185" s="11"/>
    </row>
    <row r="186" customFormat="false" ht="15" hidden="false" customHeight="false" outlineLevel="0" collapsed="false">
      <c r="A186" s="10"/>
      <c r="B186" s="16"/>
      <c r="C186" s="11"/>
      <c r="D186" s="11"/>
      <c r="E186" s="12"/>
      <c r="F186" s="14" t="str">
        <f aca="false">IF(A186="","",SUMIFS(Reservations!$G:$G,Reservations!$E:$E,A186,Reservations!$F:$F,B186,Reservations!$D:$D,C186))</f>
        <v/>
      </c>
      <c r="G186" s="14" t="str">
        <f aca="false">IF(OR(A186="",E186=""),"",E186-F186)</f>
        <v/>
      </c>
      <c r="H186" s="15" t="str">
        <f aca="false">IF(G186="","",IF(G186&lt;0,"Surbooké",IF(G186=0,"Complet","Ouvert")))</f>
        <v/>
      </c>
      <c r="I186" s="11"/>
    </row>
    <row r="187" customFormat="false" ht="15" hidden="false" customHeight="false" outlineLevel="0" collapsed="false">
      <c r="A187" s="10"/>
      <c r="B187" s="16"/>
      <c r="C187" s="11"/>
      <c r="D187" s="11"/>
      <c r="E187" s="12"/>
      <c r="F187" s="14" t="str">
        <f aca="false">IF(A187="","",SUMIFS(Reservations!$G:$G,Reservations!$E:$E,A187,Reservations!$F:$F,B187,Reservations!$D:$D,C187))</f>
        <v/>
      </c>
      <c r="G187" s="14" t="str">
        <f aca="false">IF(OR(A187="",E187=""),"",E187-F187)</f>
        <v/>
      </c>
      <c r="H187" s="15" t="str">
        <f aca="false">IF(G187="","",IF(G187&lt;0,"Surbooké",IF(G187=0,"Complet","Ouvert")))</f>
        <v/>
      </c>
      <c r="I187" s="11"/>
    </row>
    <row r="188" customFormat="false" ht="15" hidden="false" customHeight="false" outlineLevel="0" collapsed="false">
      <c r="A188" s="10"/>
      <c r="B188" s="16"/>
      <c r="C188" s="11"/>
      <c r="D188" s="11"/>
      <c r="E188" s="12"/>
      <c r="F188" s="14" t="str">
        <f aca="false">IF(A188="","",SUMIFS(Reservations!$G:$G,Reservations!$E:$E,A188,Reservations!$F:$F,B188,Reservations!$D:$D,C188))</f>
        <v/>
      </c>
      <c r="G188" s="14" t="str">
        <f aca="false">IF(OR(A188="",E188=""),"",E188-F188)</f>
        <v/>
      </c>
      <c r="H188" s="15" t="str">
        <f aca="false">IF(G188="","",IF(G188&lt;0,"Surbooké",IF(G188=0,"Complet","Ouvert")))</f>
        <v/>
      </c>
      <c r="I188" s="11"/>
    </row>
    <row r="189" customFormat="false" ht="15" hidden="false" customHeight="false" outlineLevel="0" collapsed="false">
      <c r="A189" s="10"/>
      <c r="B189" s="16"/>
      <c r="C189" s="11"/>
      <c r="D189" s="11"/>
      <c r="E189" s="12"/>
      <c r="F189" s="14" t="str">
        <f aca="false">IF(A189="","",SUMIFS(Reservations!$G:$G,Reservations!$E:$E,A189,Reservations!$F:$F,B189,Reservations!$D:$D,C189))</f>
        <v/>
      </c>
      <c r="G189" s="14" t="str">
        <f aca="false">IF(OR(A189="",E189=""),"",E189-F189)</f>
        <v/>
      </c>
      <c r="H189" s="15" t="str">
        <f aca="false">IF(G189="","",IF(G189&lt;0,"Surbooké",IF(G189=0,"Complet","Ouvert")))</f>
        <v/>
      </c>
      <c r="I189" s="11"/>
    </row>
    <row r="190" customFormat="false" ht="15" hidden="false" customHeight="false" outlineLevel="0" collapsed="false">
      <c r="A190" s="10"/>
      <c r="B190" s="16"/>
      <c r="C190" s="11"/>
      <c r="D190" s="11"/>
      <c r="E190" s="12"/>
      <c r="F190" s="14" t="str">
        <f aca="false">IF(A190="","",SUMIFS(Reservations!$G:$G,Reservations!$E:$E,A190,Reservations!$F:$F,B190,Reservations!$D:$D,C190))</f>
        <v/>
      </c>
      <c r="G190" s="14" t="str">
        <f aca="false">IF(OR(A190="",E190=""),"",E190-F190)</f>
        <v/>
      </c>
      <c r="H190" s="15" t="str">
        <f aca="false">IF(G190="","",IF(G190&lt;0,"Surbooké",IF(G190=0,"Complet","Ouvert")))</f>
        <v/>
      </c>
      <c r="I190" s="11"/>
    </row>
    <row r="191" customFormat="false" ht="15" hidden="false" customHeight="false" outlineLevel="0" collapsed="false">
      <c r="A191" s="10"/>
      <c r="B191" s="16"/>
      <c r="C191" s="11"/>
      <c r="D191" s="11"/>
      <c r="E191" s="12"/>
      <c r="F191" s="14" t="str">
        <f aca="false">IF(A191="","",SUMIFS(Reservations!$G:$G,Reservations!$E:$E,A191,Reservations!$F:$F,B191,Reservations!$D:$D,C191))</f>
        <v/>
      </c>
      <c r="G191" s="14" t="str">
        <f aca="false">IF(OR(A191="",E191=""),"",E191-F191)</f>
        <v/>
      </c>
      <c r="H191" s="15" t="str">
        <f aca="false">IF(G191="","",IF(G191&lt;0,"Surbooké",IF(G191=0,"Complet","Ouvert")))</f>
        <v/>
      </c>
      <c r="I191" s="11"/>
    </row>
    <row r="192" customFormat="false" ht="15" hidden="false" customHeight="false" outlineLevel="0" collapsed="false">
      <c r="A192" s="10"/>
      <c r="B192" s="16"/>
      <c r="C192" s="11"/>
      <c r="D192" s="11"/>
      <c r="E192" s="12"/>
      <c r="F192" s="14" t="str">
        <f aca="false">IF(A192="","",SUMIFS(Reservations!$G:$G,Reservations!$E:$E,A192,Reservations!$F:$F,B192,Reservations!$D:$D,C192))</f>
        <v/>
      </c>
      <c r="G192" s="14" t="str">
        <f aca="false">IF(OR(A192="",E192=""),"",E192-F192)</f>
        <v/>
      </c>
      <c r="H192" s="15" t="str">
        <f aca="false">IF(G192="","",IF(G192&lt;0,"Surbooké",IF(G192=0,"Complet","Ouvert")))</f>
        <v/>
      </c>
      <c r="I192" s="11"/>
    </row>
    <row r="193" customFormat="false" ht="15" hidden="false" customHeight="false" outlineLevel="0" collapsed="false">
      <c r="A193" s="10"/>
      <c r="B193" s="16"/>
      <c r="C193" s="11"/>
      <c r="D193" s="11"/>
      <c r="E193" s="12"/>
      <c r="F193" s="14" t="str">
        <f aca="false">IF(A193="","",SUMIFS(Reservations!$G:$G,Reservations!$E:$E,A193,Reservations!$F:$F,B193,Reservations!$D:$D,C193))</f>
        <v/>
      </c>
      <c r="G193" s="14" t="str">
        <f aca="false">IF(OR(A193="",E193=""),"",E193-F193)</f>
        <v/>
      </c>
      <c r="H193" s="15" t="str">
        <f aca="false">IF(G193="","",IF(G193&lt;0,"Surbooké",IF(G193=0,"Complet","Ouvert")))</f>
        <v/>
      </c>
      <c r="I193" s="11"/>
    </row>
    <row r="194" customFormat="false" ht="15" hidden="false" customHeight="false" outlineLevel="0" collapsed="false">
      <c r="A194" s="10"/>
      <c r="B194" s="16"/>
      <c r="C194" s="11"/>
      <c r="D194" s="11"/>
      <c r="E194" s="12"/>
      <c r="F194" s="14" t="str">
        <f aca="false">IF(A194="","",SUMIFS(Reservations!$G:$G,Reservations!$E:$E,A194,Reservations!$F:$F,B194,Reservations!$D:$D,C194))</f>
        <v/>
      </c>
      <c r="G194" s="14" t="str">
        <f aca="false">IF(OR(A194="",E194=""),"",E194-F194)</f>
        <v/>
      </c>
      <c r="H194" s="15" t="str">
        <f aca="false">IF(G194="","",IF(G194&lt;0,"Surbooké",IF(G194=0,"Complet","Ouvert")))</f>
        <v/>
      </c>
      <c r="I194" s="11"/>
    </row>
    <row r="195" customFormat="false" ht="15" hidden="false" customHeight="false" outlineLevel="0" collapsed="false">
      <c r="A195" s="10"/>
      <c r="B195" s="16"/>
      <c r="C195" s="11"/>
      <c r="D195" s="11"/>
      <c r="E195" s="12"/>
      <c r="F195" s="14" t="str">
        <f aca="false">IF(A195="","",SUMIFS(Reservations!$G:$G,Reservations!$E:$E,A195,Reservations!$F:$F,B195,Reservations!$D:$D,C195))</f>
        <v/>
      </c>
      <c r="G195" s="14" t="str">
        <f aca="false">IF(OR(A195="",E195=""),"",E195-F195)</f>
        <v/>
      </c>
      <c r="H195" s="15" t="str">
        <f aca="false">IF(G195="","",IF(G195&lt;0,"Surbooké",IF(G195=0,"Complet","Ouvert")))</f>
        <v/>
      </c>
      <c r="I195" s="11"/>
    </row>
    <row r="196" customFormat="false" ht="15" hidden="false" customHeight="false" outlineLevel="0" collapsed="false">
      <c r="A196" s="10"/>
      <c r="B196" s="16"/>
      <c r="C196" s="11"/>
      <c r="D196" s="11"/>
      <c r="E196" s="12"/>
      <c r="F196" s="14" t="str">
        <f aca="false">IF(A196="","",SUMIFS(Reservations!$G:$G,Reservations!$E:$E,A196,Reservations!$F:$F,B196,Reservations!$D:$D,C196))</f>
        <v/>
      </c>
      <c r="G196" s="14" t="str">
        <f aca="false">IF(OR(A196="",E196=""),"",E196-F196)</f>
        <v/>
      </c>
      <c r="H196" s="15" t="str">
        <f aca="false">IF(G196="","",IF(G196&lt;0,"Surbooké",IF(G196=0,"Complet","Ouvert")))</f>
        <v/>
      </c>
      <c r="I196" s="11"/>
    </row>
    <row r="197" customFormat="false" ht="15" hidden="false" customHeight="false" outlineLevel="0" collapsed="false">
      <c r="A197" s="10"/>
      <c r="B197" s="16"/>
      <c r="C197" s="11"/>
      <c r="D197" s="11"/>
      <c r="E197" s="12"/>
      <c r="F197" s="14" t="str">
        <f aca="false">IF(A197="","",SUMIFS(Reservations!$G:$G,Reservations!$E:$E,A197,Reservations!$F:$F,B197,Reservations!$D:$D,C197))</f>
        <v/>
      </c>
      <c r="G197" s="14" t="str">
        <f aca="false">IF(OR(A197="",E197=""),"",E197-F197)</f>
        <v/>
      </c>
      <c r="H197" s="15" t="str">
        <f aca="false">IF(G197="","",IF(G197&lt;0,"Surbooké",IF(G197=0,"Complet","Ouvert")))</f>
        <v/>
      </c>
      <c r="I197" s="11"/>
    </row>
    <row r="198" customFormat="false" ht="15" hidden="false" customHeight="false" outlineLevel="0" collapsed="false">
      <c r="A198" s="10"/>
      <c r="B198" s="16"/>
      <c r="C198" s="11"/>
      <c r="D198" s="11"/>
      <c r="E198" s="12"/>
      <c r="F198" s="14" t="str">
        <f aca="false">IF(A198="","",SUMIFS(Reservations!$G:$G,Reservations!$E:$E,A198,Reservations!$F:$F,B198,Reservations!$D:$D,C198))</f>
        <v/>
      </c>
      <c r="G198" s="14" t="str">
        <f aca="false">IF(OR(A198="",E198=""),"",E198-F198)</f>
        <v/>
      </c>
      <c r="H198" s="15" t="str">
        <f aca="false">IF(G198="","",IF(G198&lt;0,"Surbooké",IF(G198=0,"Complet","Ouvert")))</f>
        <v/>
      </c>
      <c r="I198" s="11"/>
    </row>
    <row r="199" customFormat="false" ht="15" hidden="false" customHeight="false" outlineLevel="0" collapsed="false">
      <c r="A199" s="10"/>
      <c r="B199" s="16"/>
      <c r="C199" s="11"/>
      <c r="D199" s="11"/>
      <c r="E199" s="12"/>
      <c r="F199" s="14" t="str">
        <f aca="false">IF(A199="","",SUMIFS(Reservations!$G:$G,Reservations!$E:$E,A199,Reservations!$F:$F,B199,Reservations!$D:$D,C199))</f>
        <v/>
      </c>
      <c r="G199" s="14" t="str">
        <f aca="false">IF(OR(A199="",E199=""),"",E199-F199)</f>
        <v/>
      </c>
      <c r="H199" s="15" t="str">
        <f aca="false">IF(G199="","",IF(G199&lt;0,"Surbooké",IF(G199=0,"Complet","Ouvert")))</f>
        <v/>
      </c>
      <c r="I199" s="11"/>
    </row>
    <row r="200" customFormat="false" ht="15" hidden="false" customHeight="false" outlineLevel="0" collapsed="false">
      <c r="A200" s="10"/>
      <c r="B200" s="16"/>
      <c r="C200" s="11"/>
      <c r="D200" s="11"/>
      <c r="E200" s="12"/>
      <c r="F200" s="14" t="str">
        <f aca="false">IF(A200="","",SUMIFS(Reservations!$G:$G,Reservations!$E:$E,A200,Reservations!$F:$F,B200,Reservations!$D:$D,C200))</f>
        <v/>
      </c>
      <c r="G200" s="14" t="str">
        <f aca="false">IF(OR(A200="",E200=""),"",E200-F200)</f>
        <v/>
      </c>
      <c r="H200" s="15" t="str">
        <f aca="false">IF(G200="","",IF(G200&lt;0,"Surbooké",IF(G200=0,"Complet","Ouvert")))</f>
        <v/>
      </c>
      <c r="I200" s="11"/>
    </row>
    <row r="201" customFormat="false" ht="15" hidden="false" customHeight="false" outlineLevel="0" collapsed="false">
      <c r="A201" s="10"/>
      <c r="B201" s="16"/>
      <c r="C201" s="11"/>
      <c r="D201" s="11"/>
      <c r="E201" s="12"/>
      <c r="F201" s="14" t="str">
        <f aca="false">IF(A201="","",SUMIFS(Reservations!$G:$G,Reservations!$E:$E,A201,Reservations!$F:$F,B201,Reservations!$D:$D,C201))</f>
        <v/>
      </c>
      <c r="G201" s="14" t="str">
        <f aca="false">IF(OR(A201="",E201=""),"",E201-F201)</f>
        <v/>
      </c>
      <c r="H201" s="15" t="str">
        <f aca="false">IF(G201="","",IF(G201&lt;0,"Surbooké",IF(G201=0,"Complet","Ouvert")))</f>
        <v/>
      </c>
      <c r="I201" s="11"/>
    </row>
    <row r="202" customFormat="false" ht="15" hidden="false" customHeight="false" outlineLevel="0" collapsed="false">
      <c r="A202" s="10"/>
      <c r="B202" s="16"/>
      <c r="C202" s="11"/>
      <c r="D202" s="11"/>
      <c r="E202" s="12"/>
      <c r="F202" s="14" t="str">
        <f aca="false">IF(A202="","",SUMIFS(Reservations!$G:$G,Reservations!$E:$E,A202,Reservations!$F:$F,B202,Reservations!$D:$D,C202))</f>
        <v/>
      </c>
      <c r="G202" s="14" t="str">
        <f aca="false">IF(OR(A202="",E202=""),"",E202-F202)</f>
        <v/>
      </c>
      <c r="H202" s="15" t="str">
        <f aca="false">IF(G202="","",IF(G202&lt;0,"Surbooké",IF(G202=0,"Complet","Ouvert")))</f>
        <v/>
      </c>
      <c r="I202" s="11"/>
    </row>
    <row r="203" customFormat="false" ht="15" hidden="false" customHeight="false" outlineLevel="0" collapsed="false">
      <c r="A203" s="10"/>
      <c r="B203" s="16"/>
      <c r="C203" s="11"/>
      <c r="D203" s="11"/>
      <c r="E203" s="12"/>
      <c r="F203" s="14" t="str">
        <f aca="false">IF(A203="","",SUMIFS(Reservations!$G:$G,Reservations!$E:$E,A203,Reservations!$F:$F,B203,Reservations!$D:$D,C203))</f>
        <v/>
      </c>
      <c r="G203" s="14" t="str">
        <f aca="false">IF(OR(A203="",E203=""),"",E203-F203)</f>
        <v/>
      </c>
      <c r="H203" s="15" t="str">
        <f aca="false">IF(G203="","",IF(G203&lt;0,"Surbooké",IF(G203=0,"Complet","Ouvert")))</f>
        <v/>
      </c>
      <c r="I203" s="11"/>
    </row>
    <row r="204" customFormat="false" ht="15" hidden="false" customHeight="false" outlineLevel="0" collapsed="false">
      <c r="A204" s="10"/>
      <c r="B204" s="16"/>
      <c r="C204" s="11"/>
      <c r="D204" s="11"/>
      <c r="E204" s="12"/>
      <c r="F204" s="14" t="str">
        <f aca="false">IF(A204="","",SUMIFS(Reservations!$G:$G,Reservations!$E:$E,A204,Reservations!$F:$F,B204,Reservations!$D:$D,C204))</f>
        <v/>
      </c>
      <c r="G204" s="14" t="str">
        <f aca="false">IF(OR(A204="",E204=""),"",E204-F204)</f>
        <v/>
      </c>
      <c r="H204" s="15" t="str">
        <f aca="false">IF(G204="","",IF(G204&lt;0,"Surbooké",IF(G204=0,"Complet","Ouvert")))</f>
        <v/>
      </c>
      <c r="I204" s="11"/>
    </row>
    <row r="205" customFormat="false" ht="15" hidden="false" customHeight="false" outlineLevel="0" collapsed="false">
      <c r="A205" s="10"/>
      <c r="B205" s="16"/>
      <c r="C205" s="11"/>
      <c r="D205" s="11"/>
      <c r="E205" s="12"/>
      <c r="F205" s="14" t="str">
        <f aca="false">IF(A205="","",SUMIFS(Reservations!$G:$G,Reservations!$E:$E,A205,Reservations!$F:$F,B205,Reservations!$D:$D,C205))</f>
        <v/>
      </c>
      <c r="G205" s="14" t="str">
        <f aca="false">IF(OR(A205="",E205=""),"",E205-F205)</f>
        <v/>
      </c>
      <c r="H205" s="15" t="str">
        <f aca="false">IF(G205="","",IF(G205&lt;0,"Surbooké",IF(G205=0,"Complet","Ouvert")))</f>
        <v/>
      </c>
      <c r="I205" s="11"/>
    </row>
    <row r="206" customFormat="false" ht="15" hidden="false" customHeight="false" outlineLevel="0" collapsed="false">
      <c r="A206" s="10"/>
      <c r="B206" s="16"/>
      <c r="C206" s="11"/>
      <c r="D206" s="11"/>
      <c r="E206" s="12"/>
      <c r="F206" s="14" t="str">
        <f aca="false">IF(A206="","",SUMIFS(Reservations!$G:$G,Reservations!$E:$E,A206,Reservations!$F:$F,B206,Reservations!$D:$D,C206))</f>
        <v/>
      </c>
      <c r="G206" s="14" t="str">
        <f aca="false">IF(OR(A206="",E206=""),"",E206-F206)</f>
        <v/>
      </c>
      <c r="H206" s="15" t="str">
        <f aca="false">IF(G206="","",IF(G206&lt;0,"Surbooké",IF(G206=0,"Complet","Ouvert")))</f>
        <v/>
      </c>
      <c r="I206" s="11"/>
    </row>
    <row r="207" customFormat="false" ht="15" hidden="false" customHeight="false" outlineLevel="0" collapsed="false">
      <c r="A207" s="10"/>
      <c r="B207" s="16"/>
      <c r="C207" s="11"/>
      <c r="D207" s="11"/>
      <c r="E207" s="12"/>
      <c r="F207" s="14" t="str">
        <f aca="false">IF(A207="","",SUMIFS(Reservations!$G:$G,Reservations!$E:$E,A207,Reservations!$F:$F,B207,Reservations!$D:$D,C207))</f>
        <v/>
      </c>
      <c r="G207" s="14" t="str">
        <f aca="false">IF(OR(A207="",E207=""),"",E207-F207)</f>
        <v/>
      </c>
      <c r="H207" s="15" t="str">
        <f aca="false">IF(G207="","",IF(G207&lt;0,"Surbooké",IF(G207=0,"Complet","Ouvert")))</f>
        <v/>
      </c>
      <c r="I207" s="11"/>
    </row>
    <row r="208" customFormat="false" ht="15" hidden="false" customHeight="false" outlineLevel="0" collapsed="false">
      <c r="A208" s="10"/>
      <c r="B208" s="16"/>
      <c r="C208" s="11"/>
      <c r="D208" s="11"/>
      <c r="E208" s="12"/>
      <c r="F208" s="14" t="str">
        <f aca="false">IF(A208="","",SUMIFS(Reservations!$G:$G,Reservations!$E:$E,A208,Reservations!$F:$F,B208,Reservations!$D:$D,C208))</f>
        <v/>
      </c>
      <c r="G208" s="14" t="str">
        <f aca="false">IF(OR(A208="",E208=""),"",E208-F208)</f>
        <v/>
      </c>
      <c r="H208" s="15" t="str">
        <f aca="false">IF(G208="","",IF(G208&lt;0,"Surbooké",IF(G208=0,"Complet","Ouvert")))</f>
        <v/>
      </c>
      <c r="I208" s="11"/>
    </row>
    <row r="209" customFormat="false" ht="15" hidden="false" customHeight="false" outlineLevel="0" collapsed="false">
      <c r="A209" s="10"/>
      <c r="B209" s="16"/>
      <c r="C209" s="11"/>
      <c r="D209" s="11"/>
      <c r="E209" s="12"/>
      <c r="F209" s="14" t="str">
        <f aca="false">IF(A209="","",SUMIFS(Reservations!$G:$G,Reservations!$E:$E,A209,Reservations!$F:$F,B209,Reservations!$D:$D,C209))</f>
        <v/>
      </c>
      <c r="G209" s="14" t="str">
        <f aca="false">IF(OR(A209="",E209=""),"",E209-F209)</f>
        <v/>
      </c>
      <c r="H209" s="15" t="str">
        <f aca="false">IF(G209="","",IF(G209&lt;0,"Surbooké",IF(G209=0,"Complet","Ouvert")))</f>
        <v/>
      </c>
      <c r="I209" s="11"/>
    </row>
    <row r="210" customFormat="false" ht="15" hidden="false" customHeight="false" outlineLevel="0" collapsed="false">
      <c r="A210" s="10"/>
      <c r="B210" s="16"/>
      <c r="C210" s="11"/>
      <c r="D210" s="11"/>
      <c r="E210" s="12"/>
      <c r="F210" s="14" t="str">
        <f aca="false">IF(A210="","",SUMIFS(Reservations!$G:$G,Reservations!$E:$E,A210,Reservations!$F:$F,B210,Reservations!$D:$D,C210))</f>
        <v/>
      </c>
      <c r="G210" s="14" t="str">
        <f aca="false">IF(OR(A210="",E210=""),"",E210-F210)</f>
        <v/>
      </c>
      <c r="H210" s="15" t="str">
        <f aca="false">IF(G210="","",IF(G210&lt;0,"Surbooké",IF(G210=0,"Complet","Ouvert")))</f>
        <v/>
      </c>
      <c r="I210" s="11"/>
    </row>
    <row r="211" customFormat="false" ht="15" hidden="false" customHeight="false" outlineLevel="0" collapsed="false">
      <c r="A211" s="10"/>
      <c r="B211" s="16"/>
      <c r="C211" s="11"/>
      <c r="D211" s="11"/>
      <c r="E211" s="12"/>
      <c r="F211" s="14" t="str">
        <f aca="false">IF(A211="","",SUMIFS(Reservations!$G:$G,Reservations!$E:$E,A211,Reservations!$F:$F,B211,Reservations!$D:$D,C211))</f>
        <v/>
      </c>
      <c r="G211" s="14" t="str">
        <f aca="false">IF(OR(A211="",E211=""),"",E211-F211)</f>
        <v/>
      </c>
      <c r="H211" s="15" t="str">
        <f aca="false">IF(G211="","",IF(G211&lt;0,"Surbooké",IF(G211=0,"Complet","Ouvert")))</f>
        <v/>
      </c>
      <c r="I211" s="11"/>
    </row>
    <row r="212" customFormat="false" ht="15" hidden="false" customHeight="false" outlineLevel="0" collapsed="false">
      <c r="A212" s="10"/>
      <c r="B212" s="16"/>
      <c r="C212" s="11"/>
      <c r="D212" s="11"/>
      <c r="E212" s="12"/>
      <c r="F212" s="14" t="str">
        <f aca="false">IF(A212="","",SUMIFS(Reservations!$G:$G,Reservations!$E:$E,A212,Reservations!$F:$F,B212,Reservations!$D:$D,C212))</f>
        <v/>
      </c>
      <c r="G212" s="14" t="str">
        <f aca="false">IF(OR(A212="",E212=""),"",E212-F212)</f>
        <v/>
      </c>
      <c r="H212" s="15" t="str">
        <f aca="false">IF(G212="","",IF(G212&lt;0,"Surbooké",IF(G212=0,"Complet","Ouvert")))</f>
        <v/>
      </c>
      <c r="I212" s="11"/>
    </row>
    <row r="213" customFormat="false" ht="15" hidden="false" customHeight="false" outlineLevel="0" collapsed="false">
      <c r="A213" s="10"/>
      <c r="B213" s="16"/>
      <c r="C213" s="11"/>
      <c r="D213" s="11"/>
      <c r="E213" s="12"/>
      <c r="F213" s="14" t="str">
        <f aca="false">IF(A213="","",SUMIFS(Reservations!$G:$G,Reservations!$E:$E,A213,Reservations!$F:$F,B213,Reservations!$D:$D,C213))</f>
        <v/>
      </c>
      <c r="G213" s="14" t="str">
        <f aca="false">IF(OR(A213="",E213=""),"",E213-F213)</f>
        <v/>
      </c>
      <c r="H213" s="15" t="str">
        <f aca="false">IF(G213="","",IF(G213&lt;0,"Surbooké",IF(G213=0,"Complet","Ouvert")))</f>
        <v/>
      </c>
      <c r="I213" s="11"/>
    </row>
    <row r="214" customFormat="false" ht="15" hidden="false" customHeight="false" outlineLevel="0" collapsed="false">
      <c r="A214" s="10"/>
      <c r="B214" s="16"/>
      <c r="C214" s="11"/>
      <c r="D214" s="11"/>
      <c r="E214" s="12"/>
      <c r="F214" s="14" t="str">
        <f aca="false">IF(A214="","",SUMIFS(Reservations!$G:$G,Reservations!$E:$E,A214,Reservations!$F:$F,B214,Reservations!$D:$D,C214))</f>
        <v/>
      </c>
      <c r="G214" s="14" t="str">
        <f aca="false">IF(OR(A214="",E214=""),"",E214-F214)</f>
        <v/>
      </c>
      <c r="H214" s="15" t="str">
        <f aca="false">IF(G214="","",IF(G214&lt;0,"Surbooké",IF(G214=0,"Complet","Ouvert")))</f>
        <v/>
      </c>
      <c r="I214" s="11"/>
    </row>
    <row r="215" customFormat="false" ht="15" hidden="false" customHeight="false" outlineLevel="0" collapsed="false">
      <c r="A215" s="10"/>
      <c r="B215" s="16"/>
      <c r="C215" s="11"/>
      <c r="D215" s="11"/>
      <c r="E215" s="12"/>
      <c r="F215" s="14" t="str">
        <f aca="false">IF(A215="","",SUMIFS(Reservations!$G:$G,Reservations!$E:$E,A215,Reservations!$F:$F,B215,Reservations!$D:$D,C215))</f>
        <v/>
      </c>
      <c r="G215" s="14" t="str">
        <f aca="false">IF(OR(A215="",E215=""),"",E215-F215)</f>
        <v/>
      </c>
      <c r="H215" s="15" t="str">
        <f aca="false">IF(G215="","",IF(G215&lt;0,"Surbooké",IF(G215=0,"Complet","Ouvert")))</f>
        <v/>
      </c>
      <c r="I215" s="11"/>
    </row>
    <row r="216" customFormat="false" ht="15" hidden="false" customHeight="false" outlineLevel="0" collapsed="false">
      <c r="A216" s="10"/>
      <c r="B216" s="16"/>
      <c r="C216" s="11"/>
      <c r="D216" s="11"/>
      <c r="E216" s="12"/>
      <c r="F216" s="14" t="str">
        <f aca="false">IF(A216="","",SUMIFS(Reservations!$G:$G,Reservations!$E:$E,A216,Reservations!$F:$F,B216,Reservations!$D:$D,C216))</f>
        <v/>
      </c>
      <c r="G216" s="14" t="str">
        <f aca="false">IF(OR(A216="",E216=""),"",E216-F216)</f>
        <v/>
      </c>
      <c r="H216" s="15" t="str">
        <f aca="false">IF(G216="","",IF(G216&lt;0,"Surbooké",IF(G216=0,"Complet","Ouvert")))</f>
        <v/>
      </c>
      <c r="I216" s="11"/>
    </row>
    <row r="217" customFormat="false" ht="15" hidden="false" customHeight="false" outlineLevel="0" collapsed="false">
      <c r="A217" s="10"/>
      <c r="B217" s="16"/>
      <c r="C217" s="11"/>
      <c r="D217" s="11"/>
      <c r="E217" s="12"/>
      <c r="F217" s="14" t="str">
        <f aca="false">IF(A217="","",SUMIFS(Reservations!$G:$G,Reservations!$E:$E,A217,Reservations!$F:$F,B217,Reservations!$D:$D,C217))</f>
        <v/>
      </c>
      <c r="G217" s="14" t="str">
        <f aca="false">IF(OR(A217="",E217=""),"",E217-F217)</f>
        <v/>
      </c>
      <c r="H217" s="15" t="str">
        <f aca="false">IF(G217="","",IF(G217&lt;0,"Surbooké",IF(G217=0,"Complet","Ouvert")))</f>
        <v/>
      </c>
      <c r="I217" s="11"/>
    </row>
    <row r="218" customFormat="false" ht="15" hidden="false" customHeight="false" outlineLevel="0" collapsed="false">
      <c r="A218" s="10"/>
      <c r="B218" s="16"/>
      <c r="C218" s="11"/>
      <c r="D218" s="11"/>
      <c r="E218" s="12"/>
      <c r="F218" s="14" t="str">
        <f aca="false">IF(A218="","",SUMIFS(Reservations!$G:$G,Reservations!$E:$E,A218,Reservations!$F:$F,B218,Reservations!$D:$D,C218))</f>
        <v/>
      </c>
      <c r="G218" s="14" t="str">
        <f aca="false">IF(OR(A218="",E218=""),"",E218-F218)</f>
        <v/>
      </c>
      <c r="H218" s="15" t="str">
        <f aca="false">IF(G218="","",IF(G218&lt;0,"Surbooké",IF(G218=0,"Complet","Ouvert")))</f>
        <v/>
      </c>
      <c r="I218" s="11"/>
    </row>
    <row r="219" customFormat="false" ht="15" hidden="false" customHeight="false" outlineLevel="0" collapsed="false">
      <c r="A219" s="10"/>
      <c r="B219" s="16"/>
      <c r="C219" s="11"/>
      <c r="D219" s="11"/>
      <c r="E219" s="12"/>
      <c r="F219" s="14" t="str">
        <f aca="false">IF(A219="","",SUMIFS(Reservations!$G:$G,Reservations!$E:$E,A219,Reservations!$F:$F,B219,Reservations!$D:$D,C219))</f>
        <v/>
      </c>
      <c r="G219" s="14" t="str">
        <f aca="false">IF(OR(A219="",E219=""),"",E219-F219)</f>
        <v/>
      </c>
      <c r="H219" s="15" t="str">
        <f aca="false">IF(G219="","",IF(G219&lt;0,"Surbooké",IF(G219=0,"Complet","Ouvert")))</f>
        <v/>
      </c>
      <c r="I219" s="11"/>
    </row>
    <row r="220" customFormat="false" ht="15" hidden="false" customHeight="false" outlineLevel="0" collapsed="false">
      <c r="A220" s="10"/>
      <c r="B220" s="16"/>
      <c r="C220" s="11"/>
      <c r="D220" s="11"/>
      <c r="E220" s="12"/>
      <c r="F220" s="14" t="str">
        <f aca="false">IF(A220="","",SUMIFS(Reservations!$G:$G,Reservations!$E:$E,A220,Reservations!$F:$F,B220,Reservations!$D:$D,C220))</f>
        <v/>
      </c>
      <c r="G220" s="14" t="str">
        <f aca="false">IF(OR(A220="",E220=""),"",E220-F220)</f>
        <v/>
      </c>
      <c r="H220" s="15" t="str">
        <f aca="false">IF(G220="","",IF(G220&lt;0,"Surbooké",IF(G220=0,"Complet","Ouvert")))</f>
        <v/>
      </c>
      <c r="I220" s="11"/>
    </row>
    <row r="221" customFormat="false" ht="15" hidden="false" customHeight="false" outlineLevel="0" collapsed="false">
      <c r="A221" s="10"/>
      <c r="B221" s="16"/>
      <c r="C221" s="11"/>
      <c r="D221" s="11"/>
      <c r="E221" s="12"/>
      <c r="F221" s="14" t="str">
        <f aca="false">IF(A221="","",SUMIFS(Reservations!$G:$G,Reservations!$E:$E,A221,Reservations!$F:$F,B221,Reservations!$D:$D,C221))</f>
        <v/>
      </c>
      <c r="G221" s="14" t="str">
        <f aca="false">IF(OR(A221="",E221=""),"",E221-F221)</f>
        <v/>
      </c>
      <c r="H221" s="15" t="str">
        <f aca="false">IF(G221="","",IF(G221&lt;0,"Surbooké",IF(G221=0,"Complet","Ouvert")))</f>
        <v/>
      </c>
      <c r="I221" s="11"/>
    </row>
    <row r="222" customFormat="false" ht="15" hidden="false" customHeight="false" outlineLevel="0" collapsed="false">
      <c r="A222" s="10"/>
      <c r="B222" s="16"/>
      <c r="C222" s="11"/>
      <c r="D222" s="11"/>
      <c r="E222" s="12"/>
      <c r="F222" s="14" t="str">
        <f aca="false">IF(A222="","",SUMIFS(Reservations!$G:$G,Reservations!$E:$E,A222,Reservations!$F:$F,B222,Reservations!$D:$D,C222))</f>
        <v/>
      </c>
      <c r="G222" s="14" t="str">
        <f aca="false">IF(OR(A222="",E222=""),"",E222-F222)</f>
        <v/>
      </c>
      <c r="H222" s="15" t="str">
        <f aca="false">IF(G222="","",IF(G222&lt;0,"Surbooké",IF(G222=0,"Complet","Ouvert")))</f>
        <v/>
      </c>
      <c r="I222" s="11"/>
    </row>
    <row r="223" customFormat="false" ht="15" hidden="false" customHeight="false" outlineLevel="0" collapsed="false">
      <c r="A223" s="10"/>
      <c r="B223" s="16"/>
      <c r="C223" s="11"/>
      <c r="D223" s="11"/>
      <c r="E223" s="12"/>
      <c r="F223" s="14" t="str">
        <f aca="false">IF(A223="","",SUMIFS(Reservations!$G:$G,Reservations!$E:$E,A223,Reservations!$F:$F,B223,Reservations!$D:$D,C223))</f>
        <v/>
      </c>
      <c r="G223" s="14" t="str">
        <f aca="false">IF(OR(A223="",E223=""),"",E223-F223)</f>
        <v/>
      </c>
      <c r="H223" s="15" t="str">
        <f aca="false">IF(G223="","",IF(G223&lt;0,"Surbooké",IF(G223=0,"Complet","Ouvert")))</f>
        <v/>
      </c>
      <c r="I223" s="11"/>
    </row>
    <row r="224" customFormat="false" ht="15" hidden="false" customHeight="false" outlineLevel="0" collapsed="false">
      <c r="A224" s="10"/>
      <c r="B224" s="16"/>
      <c r="C224" s="11"/>
      <c r="D224" s="11"/>
      <c r="E224" s="12"/>
      <c r="F224" s="14" t="str">
        <f aca="false">IF(A224="","",SUMIFS(Reservations!$G:$G,Reservations!$E:$E,A224,Reservations!$F:$F,B224,Reservations!$D:$D,C224))</f>
        <v/>
      </c>
      <c r="G224" s="14" t="str">
        <f aca="false">IF(OR(A224="",E224=""),"",E224-F224)</f>
        <v/>
      </c>
      <c r="H224" s="15" t="str">
        <f aca="false">IF(G224="","",IF(G224&lt;0,"Surbooké",IF(G224=0,"Complet","Ouvert")))</f>
        <v/>
      </c>
      <c r="I224" s="11"/>
    </row>
    <row r="225" customFormat="false" ht="15" hidden="false" customHeight="false" outlineLevel="0" collapsed="false">
      <c r="A225" s="10"/>
      <c r="B225" s="16"/>
      <c r="C225" s="11"/>
      <c r="D225" s="11"/>
      <c r="E225" s="12"/>
      <c r="F225" s="14" t="str">
        <f aca="false">IF(A225="","",SUMIFS(Reservations!$G:$G,Reservations!$E:$E,A225,Reservations!$F:$F,B225,Reservations!$D:$D,C225))</f>
        <v/>
      </c>
      <c r="G225" s="14" t="str">
        <f aca="false">IF(OR(A225="",E225=""),"",E225-F225)</f>
        <v/>
      </c>
      <c r="H225" s="15" t="str">
        <f aca="false">IF(G225="","",IF(G225&lt;0,"Surbooké",IF(G225=0,"Complet","Ouvert")))</f>
        <v/>
      </c>
      <c r="I225" s="11"/>
    </row>
    <row r="226" customFormat="false" ht="15" hidden="false" customHeight="false" outlineLevel="0" collapsed="false">
      <c r="A226" s="10"/>
      <c r="B226" s="16"/>
      <c r="C226" s="11"/>
      <c r="D226" s="11"/>
      <c r="E226" s="12"/>
      <c r="F226" s="14" t="str">
        <f aca="false">IF(A226="","",SUMIFS(Reservations!$G:$G,Reservations!$E:$E,A226,Reservations!$F:$F,B226,Reservations!$D:$D,C226))</f>
        <v/>
      </c>
      <c r="G226" s="14" t="str">
        <f aca="false">IF(OR(A226="",E226=""),"",E226-F226)</f>
        <v/>
      </c>
      <c r="H226" s="15" t="str">
        <f aca="false">IF(G226="","",IF(G226&lt;0,"Surbooké",IF(G226=0,"Complet","Ouvert")))</f>
        <v/>
      </c>
      <c r="I226" s="11"/>
    </row>
    <row r="227" customFormat="false" ht="15" hidden="false" customHeight="false" outlineLevel="0" collapsed="false">
      <c r="A227" s="10"/>
      <c r="B227" s="16"/>
      <c r="C227" s="11"/>
      <c r="D227" s="11"/>
      <c r="E227" s="12"/>
      <c r="F227" s="14" t="str">
        <f aca="false">IF(A227="","",SUMIFS(Reservations!$G:$G,Reservations!$E:$E,A227,Reservations!$F:$F,B227,Reservations!$D:$D,C227))</f>
        <v/>
      </c>
      <c r="G227" s="14" t="str">
        <f aca="false">IF(OR(A227="",E227=""),"",E227-F227)</f>
        <v/>
      </c>
      <c r="H227" s="15" t="str">
        <f aca="false">IF(G227="","",IF(G227&lt;0,"Surbooké",IF(G227=0,"Complet","Ouvert")))</f>
        <v/>
      </c>
      <c r="I227" s="11"/>
    </row>
    <row r="228" customFormat="false" ht="15" hidden="false" customHeight="false" outlineLevel="0" collapsed="false">
      <c r="A228" s="10"/>
      <c r="B228" s="16"/>
      <c r="C228" s="11"/>
      <c r="D228" s="11"/>
      <c r="E228" s="12"/>
      <c r="F228" s="14" t="str">
        <f aca="false">IF(A228="","",SUMIFS(Reservations!$G:$G,Reservations!$E:$E,A228,Reservations!$F:$F,B228,Reservations!$D:$D,C228))</f>
        <v/>
      </c>
      <c r="G228" s="14" t="str">
        <f aca="false">IF(OR(A228="",E228=""),"",E228-F228)</f>
        <v/>
      </c>
      <c r="H228" s="15" t="str">
        <f aca="false">IF(G228="","",IF(G228&lt;0,"Surbooké",IF(G228=0,"Complet","Ouvert")))</f>
        <v/>
      </c>
      <c r="I228" s="11"/>
    </row>
    <row r="229" customFormat="false" ht="15" hidden="false" customHeight="false" outlineLevel="0" collapsed="false">
      <c r="A229" s="10"/>
      <c r="B229" s="16"/>
      <c r="C229" s="11"/>
      <c r="D229" s="11"/>
      <c r="E229" s="12"/>
      <c r="F229" s="14" t="str">
        <f aca="false">IF(A229="","",SUMIFS(Reservations!$G:$G,Reservations!$E:$E,A229,Reservations!$F:$F,B229,Reservations!$D:$D,C229))</f>
        <v/>
      </c>
      <c r="G229" s="14" t="str">
        <f aca="false">IF(OR(A229="",E229=""),"",E229-F229)</f>
        <v/>
      </c>
      <c r="H229" s="15" t="str">
        <f aca="false">IF(G229="","",IF(G229&lt;0,"Surbooké",IF(G229=0,"Complet","Ouvert")))</f>
        <v/>
      </c>
      <c r="I229" s="11"/>
    </row>
    <row r="230" customFormat="false" ht="15" hidden="false" customHeight="false" outlineLevel="0" collapsed="false">
      <c r="A230" s="10"/>
      <c r="B230" s="16"/>
      <c r="C230" s="11"/>
      <c r="D230" s="11"/>
      <c r="E230" s="12"/>
      <c r="F230" s="14" t="str">
        <f aca="false">IF(A230="","",SUMIFS(Reservations!$G:$G,Reservations!$E:$E,A230,Reservations!$F:$F,B230,Reservations!$D:$D,C230))</f>
        <v/>
      </c>
      <c r="G230" s="14" t="str">
        <f aca="false">IF(OR(A230="",E230=""),"",E230-F230)</f>
        <v/>
      </c>
      <c r="H230" s="15" t="str">
        <f aca="false">IF(G230="","",IF(G230&lt;0,"Surbooké",IF(G230=0,"Complet","Ouvert")))</f>
        <v/>
      </c>
      <c r="I230" s="11"/>
    </row>
    <row r="231" customFormat="false" ht="15" hidden="false" customHeight="false" outlineLevel="0" collapsed="false">
      <c r="A231" s="10"/>
      <c r="B231" s="16"/>
      <c r="C231" s="11"/>
      <c r="D231" s="11"/>
      <c r="E231" s="12"/>
      <c r="F231" s="14" t="str">
        <f aca="false">IF(A231="","",SUMIFS(Reservations!$G:$G,Reservations!$E:$E,A231,Reservations!$F:$F,B231,Reservations!$D:$D,C231))</f>
        <v/>
      </c>
      <c r="G231" s="14" t="str">
        <f aca="false">IF(OR(A231="",E231=""),"",E231-F231)</f>
        <v/>
      </c>
      <c r="H231" s="15" t="str">
        <f aca="false">IF(G231="","",IF(G231&lt;0,"Surbooké",IF(G231=0,"Complet","Ouvert")))</f>
        <v/>
      </c>
      <c r="I231" s="11"/>
    </row>
    <row r="232" customFormat="false" ht="15" hidden="false" customHeight="false" outlineLevel="0" collapsed="false">
      <c r="A232" s="10"/>
      <c r="B232" s="16"/>
      <c r="C232" s="11"/>
      <c r="D232" s="11"/>
      <c r="E232" s="12"/>
      <c r="F232" s="14" t="str">
        <f aca="false">IF(A232="","",SUMIFS(Reservations!$G:$G,Reservations!$E:$E,A232,Reservations!$F:$F,B232,Reservations!$D:$D,C232))</f>
        <v/>
      </c>
      <c r="G232" s="14" t="str">
        <f aca="false">IF(OR(A232="",E232=""),"",E232-F232)</f>
        <v/>
      </c>
      <c r="H232" s="15" t="str">
        <f aca="false">IF(G232="","",IF(G232&lt;0,"Surbooké",IF(G232=0,"Complet","Ouvert")))</f>
        <v/>
      </c>
      <c r="I232" s="11"/>
    </row>
    <row r="233" customFormat="false" ht="15" hidden="false" customHeight="false" outlineLevel="0" collapsed="false">
      <c r="A233" s="10"/>
      <c r="B233" s="16"/>
      <c r="C233" s="11"/>
      <c r="D233" s="11"/>
      <c r="E233" s="12"/>
      <c r="F233" s="14" t="str">
        <f aca="false">IF(A233="","",SUMIFS(Reservations!$G:$G,Reservations!$E:$E,A233,Reservations!$F:$F,B233,Reservations!$D:$D,C233))</f>
        <v/>
      </c>
      <c r="G233" s="14" t="str">
        <f aca="false">IF(OR(A233="",E233=""),"",E233-F233)</f>
        <v/>
      </c>
      <c r="H233" s="15" t="str">
        <f aca="false">IF(G233="","",IF(G233&lt;0,"Surbooké",IF(G233=0,"Complet","Ouvert")))</f>
        <v/>
      </c>
      <c r="I233" s="11"/>
    </row>
    <row r="234" customFormat="false" ht="15" hidden="false" customHeight="false" outlineLevel="0" collapsed="false">
      <c r="A234" s="10"/>
      <c r="B234" s="16"/>
      <c r="C234" s="11"/>
      <c r="D234" s="11"/>
      <c r="E234" s="12"/>
      <c r="F234" s="14" t="str">
        <f aca="false">IF(A234="","",SUMIFS(Reservations!$G:$G,Reservations!$E:$E,A234,Reservations!$F:$F,B234,Reservations!$D:$D,C234))</f>
        <v/>
      </c>
      <c r="G234" s="14" t="str">
        <f aca="false">IF(OR(A234="",E234=""),"",E234-F234)</f>
        <v/>
      </c>
      <c r="H234" s="15" t="str">
        <f aca="false">IF(G234="","",IF(G234&lt;0,"Surbooké",IF(G234=0,"Complet","Ouvert")))</f>
        <v/>
      </c>
      <c r="I234" s="11"/>
    </row>
    <row r="235" customFormat="false" ht="15" hidden="false" customHeight="false" outlineLevel="0" collapsed="false">
      <c r="A235" s="10"/>
      <c r="B235" s="16"/>
      <c r="C235" s="11"/>
      <c r="D235" s="11"/>
      <c r="E235" s="12"/>
      <c r="F235" s="14" t="str">
        <f aca="false">IF(A235="","",SUMIFS(Reservations!$G:$G,Reservations!$E:$E,A235,Reservations!$F:$F,B235,Reservations!$D:$D,C235))</f>
        <v/>
      </c>
      <c r="G235" s="14" t="str">
        <f aca="false">IF(OR(A235="",E235=""),"",E235-F235)</f>
        <v/>
      </c>
      <c r="H235" s="15" t="str">
        <f aca="false">IF(G235="","",IF(G235&lt;0,"Surbooké",IF(G235=0,"Complet","Ouvert")))</f>
        <v/>
      </c>
      <c r="I235" s="11"/>
    </row>
    <row r="236" customFormat="false" ht="15" hidden="false" customHeight="false" outlineLevel="0" collapsed="false">
      <c r="A236" s="10"/>
      <c r="B236" s="16"/>
      <c r="C236" s="11"/>
      <c r="D236" s="11"/>
      <c r="E236" s="12"/>
      <c r="F236" s="14" t="str">
        <f aca="false">IF(A236="","",SUMIFS(Reservations!$G:$G,Reservations!$E:$E,A236,Reservations!$F:$F,B236,Reservations!$D:$D,C236))</f>
        <v/>
      </c>
      <c r="G236" s="14" t="str">
        <f aca="false">IF(OR(A236="",E236=""),"",E236-F236)</f>
        <v/>
      </c>
      <c r="H236" s="15" t="str">
        <f aca="false">IF(G236="","",IF(G236&lt;0,"Surbooké",IF(G236=0,"Complet","Ouvert")))</f>
        <v/>
      </c>
      <c r="I236" s="11"/>
    </row>
    <row r="237" customFormat="false" ht="15" hidden="false" customHeight="false" outlineLevel="0" collapsed="false">
      <c r="A237" s="10"/>
      <c r="B237" s="16"/>
      <c r="C237" s="11"/>
      <c r="D237" s="11"/>
      <c r="E237" s="12"/>
      <c r="F237" s="14" t="str">
        <f aca="false">IF(A237="","",SUMIFS(Reservations!$G:$G,Reservations!$E:$E,A237,Reservations!$F:$F,B237,Reservations!$D:$D,C237))</f>
        <v/>
      </c>
      <c r="G237" s="14" t="str">
        <f aca="false">IF(OR(A237="",E237=""),"",E237-F237)</f>
        <v/>
      </c>
      <c r="H237" s="15" t="str">
        <f aca="false">IF(G237="","",IF(G237&lt;0,"Surbooké",IF(G237=0,"Complet","Ouvert")))</f>
        <v/>
      </c>
      <c r="I237" s="11"/>
    </row>
    <row r="238" customFormat="false" ht="15" hidden="false" customHeight="false" outlineLevel="0" collapsed="false">
      <c r="A238" s="10"/>
      <c r="B238" s="16"/>
      <c r="C238" s="11"/>
      <c r="D238" s="11"/>
      <c r="E238" s="12"/>
      <c r="F238" s="14" t="str">
        <f aca="false">IF(A238="","",SUMIFS(Reservations!$G:$G,Reservations!$E:$E,A238,Reservations!$F:$F,B238,Reservations!$D:$D,C238))</f>
        <v/>
      </c>
      <c r="G238" s="14" t="str">
        <f aca="false">IF(OR(A238="",E238=""),"",E238-F238)</f>
        <v/>
      </c>
      <c r="H238" s="15" t="str">
        <f aca="false">IF(G238="","",IF(G238&lt;0,"Surbooké",IF(G238=0,"Complet","Ouvert")))</f>
        <v/>
      </c>
      <c r="I238" s="11"/>
    </row>
    <row r="239" customFormat="false" ht="15" hidden="false" customHeight="false" outlineLevel="0" collapsed="false">
      <c r="A239" s="10"/>
      <c r="B239" s="16"/>
      <c r="C239" s="11"/>
      <c r="D239" s="11"/>
      <c r="E239" s="12"/>
      <c r="F239" s="14" t="str">
        <f aca="false">IF(A239="","",SUMIFS(Reservations!$G:$G,Reservations!$E:$E,A239,Reservations!$F:$F,B239,Reservations!$D:$D,C239))</f>
        <v/>
      </c>
      <c r="G239" s="14" t="str">
        <f aca="false">IF(OR(A239="",E239=""),"",E239-F239)</f>
        <v/>
      </c>
      <c r="H239" s="15" t="str">
        <f aca="false">IF(G239="","",IF(G239&lt;0,"Surbooké",IF(G239=0,"Complet","Ouvert")))</f>
        <v/>
      </c>
      <c r="I239" s="11"/>
    </row>
    <row r="240" customFormat="false" ht="15" hidden="false" customHeight="false" outlineLevel="0" collapsed="false">
      <c r="A240" s="10"/>
      <c r="B240" s="16"/>
      <c r="C240" s="11"/>
      <c r="D240" s="11"/>
      <c r="E240" s="12"/>
      <c r="F240" s="14" t="str">
        <f aca="false">IF(A240="","",SUMIFS(Reservations!$G:$G,Reservations!$E:$E,A240,Reservations!$F:$F,B240,Reservations!$D:$D,C240))</f>
        <v/>
      </c>
      <c r="G240" s="14" t="str">
        <f aca="false">IF(OR(A240="",E240=""),"",E240-F240)</f>
        <v/>
      </c>
      <c r="H240" s="15" t="str">
        <f aca="false">IF(G240="","",IF(G240&lt;0,"Surbooké",IF(G240=0,"Complet","Ouvert")))</f>
        <v/>
      </c>
      <c r="I240" s="11"/>
    </row>
    <row r="241" customFormat="false" ht="15" hidden="false" customHeight="false" outlineLevel="0" collapsed="false">
      <c r="A241" s="10"/>
      <c r="B241" s="16"/>
      <c r="C241" s="11"/>
      <c r="D241" s="11"/>
      <c r="E241" s="12"/>
      <c r="F241" s="14" t="str">
        <f aca="false">IF(A241="","",SUMIFS(Reservations!$G:$G,Reservations!$E:$E,A241,Reservations!$F:$F,B241,Reservations!$D:$D,C241))</f>
        <v/>
      </c>
      <c r="G241" s="14" t="str">
        <f aca="false">IF(OR(A241="",E241=""),"",E241-F241)</f>
        <v/>
      </c>
      <c r="H241" s="15" t="str">
        <f aca="false">IF(G241="","",IF(G241&lt;0,"Surbooké",IF(G241=0,"Complet","Ouvert")))</f>
        <v/>
      </c>
      <c r="I241" s="11"/>
    </row>
    <row r="242" customFormat="false" ht="15" hidden="false" customHeight="false" outlineLevel="0" collapsed="false">
      <c r="A242" s="10"/>
      <c r="B242" s="16"/>
      <c r="C242" s="11"/>
      <c r="D242" s="11"/>
      <c r="E242" s="12"/>
      <c r="F242" s="14" t="str">
        <f aca="false">IF(A242="","",SUMIFS(Reservations!$G:$G,Reservations!$E:$E,A242,Reservations!$F:$F,B242,Reservations!$D:$D,C242))</f>
        <v/>
      </c>
      <c r="G242" s="14" t="str">
        <f aca="false">IF(OR(A242="",E242=""),"",E242-F242)</f>
        <v/>
      </c>
      <c r="H242" s="15" t="str">
        <f aca="false">IF(G242="","",IF(G242&lt;0,"Surbooké",IF(G242=0,"Complet","Ouvert")))</f>
        <v/>
      </c>
      <c r="I242" s="11"/>
    </row>
    <row r="243" customFormat="false" ht="15" hidden="false" customHeight="false" outlineLevel="0" collapsed="false">
      <c r="A243" s="10"/>
      <c r="B243" s="16"/>
      <c r="C243" s="11"/>
      <c r="D243" s="11"/>
      <c r="E243" s="12"/>
      <c r="F243" s="14" t="str">
        <f aca="false">IF(A243="","",SUMIFS(Reservations!$G:$G,Reservations!$E:$E,A243,Reservations!$F:$F,B243,Reservations!$D:$D,C243))</f>
        <v/>
      </c>
      <c r="G243" s="14" t="str">
        <f aca="false">IF(OR(A243="",E243=""),"",E243-F243)</f>
        <v/>
      </c>
      <c r="H243" s="15" t="str">
        <f aca="false">IF(G243="","",IF(G243&lt;0,"Surbooké",IF(G243=0,"Complet","Ouvert")))</f>
        <v/>
      </c>
      <c r="I243" s="11"/>
    </row>
    <row r="244" customFormat="false" ht="15" hidden="false" customHeight="false" outlineLevel="0" collapsed="false">
      <c r="A244" s="10"/>
      <c r="B244" s="16"/>
      <c r="C244" s="11"/>
      <c r="D244" s="11"/>
      <c r="E244" s="12"/>
      <c r="F244" s="14" t="str">
        <f aca="false">IF(A244="","",SUMIFS(Reservations!$G:$G,Reservations!$E:$E,A244,Reservations!$F:$F,B244,Reservations!$D:$D,C244))</f>
        <v/>
      </c>
      <c r="G244" s="14" t="str">
        <f aca="false">IF(OR(A244="",E244=""),"",E244-F244)</f>
        <v/>
      </c>
      <c r="H244" s="15" t="str">
        <f aca="false">IF(G244="","",IF(G244&lt;0,"Surbooké",IF(G244=0,"Complet","Ouvert")))</f>
        <v/>
      </c>
      <c r="I244" s="11"/>
    </row>
    <row r="245" customFormat="false" ht="15" hidden="false" customHeight="false" outlineLevel="0" collapsed="false">
      <c r="A245" s="10"/>
      <c r="B245" s="16"/>
      <c r="C245" s="11"/>
      <c r="D245" s="11"/>
      <c r="E245" s="12"/>
      <c r="F245" s="14" t="str">
        <f aca="false">IF(A245="","",SUMIFS(Reservations!$G:$G,Reservations!$E:$E,A245,Reservations!$F:$F,B245,Reservations!$D:$D,C245))</f>
        <v/>
      </c>
      <c r="G245" s="14" t="str">
        <f aca="false">IF(OR(A245="",E245=""),"",E245-F245)</f>
        <v/>
      </c>
      <c r="H245" s="15" t="str">
        <f aca="false">IF(G245="","",IF(G245&lt;0,"Surbooké",IF(G245=0,"Complet","Ouvert")))</f>
        <v/>
      </c>
      <c r="I245" s="11"/>
    </row>
    <row r="246" customFormat="false" ht="15" hidden="false" customHeight="false" outlineLevel="0" collapsed="false">
      <c r="A246" s="10"/>
      <c r="B246" s="16"/>
      <c r="C246" s="11"/>
      <c r="D246" s="11"/>
      <c r="E246" s="12"/>
      <c r="F246" s="14" t="str">
        <f aca="false">IF(A246="","",SUMIFS(Reservations!$G:$G,Reservations!$E:$E,A246,Reservations!$F:$F,B246,Reservations!$D:$D,C246))</f>
        <v/>
      </c>
      <c r="G246" s="14" t="str">
        <f aca="false">IF(OR(A246="",E246=""),"",E246-F246)</f>
        <v/>
      </c>
      <c r="H246" s="15" t="str">
        <f aca="false">IF(G246="","",IF(G246&lt;0,"Surbooké",IF(G246=0,"Complet","Ouvert")))</f>
        <v/>
      </c>
      <c r="I246" s="11"/>
    </row>
    <row r="247" customFormat="false" ht="15" hidden="false" customHeight="false" outlineLevel="0" collapsed="false">
      <c r="A247" s="10"/>
      <c r="B247" s="16"/>
      <c r="C247" s="11"/>
      <c r="D247" s="11"/>
      <c r="E247" s="12"/>
      <c r="F247" s="14" t="str">
        <f aca="false">IF(A247="","",SUMIFS(Reservations!$G:$G,Reservations!$E:$E,A247,Reservations!$F:$F,B247,Reservations!$D:$D,C247))</f>
        <v/>
      </c>
      <c r="G247" s="14" t="str">
        <f aca="false">IF(OR(A247="",E247=""),"",E247-F247)</f>
        <v/>
      </c>
      <c r="H247" s="15" t="str">
        <f aca="false">IF(G247="","",IF(G247&lt;0,"Surbooké",IF(G247=0,"Complet","Ouvert")))</f>
        <v/>
      </c>
      <c r="I247" s="11"/>
    </row>
    <row r="248" customFormat="false" ht="15" hidden="false" customHeight="false" outlineLevel="0" collapsed="false">
      <c r="A248" s="10"/>
      <c r="B248" s="16"/>
      <c r="C248" s="11"/>
      <c r="D248" s="11"/>
      <c r="E248" s="12"/>
      <c r="F248" s="14" t="str">
        <f aca="false">IF(A248="","",SUMIFS(Reservations!$G:$G,Reservations!$E:$E,A248,Reservations!$F:$F,B248,Reservations!$D:$D,C248))</f>
        <v/>
      </c>
      <c r="G248" s="14" t="str">
        <f aca="false">IF(OR(A248="",E248=""),"",E248-F248)</f>
        <v/>
      </c>
      <c r="H248" s="15" t="str">
        <f aca="false">IF(G248="","",IF(G248&lt;0,"Surbooké",IF(G248=0,"Complet","Ouvert")))</f>
        <v/>
      </c>
      <c r="I248" s="11"/>
    </row>
    <row r="249" customFormat="false" ht="15" hidden="false" customHeight="false" outlineLevel="0" collapsed="false">
      <c r="A249" s="10"/>
      <c r="B249" s="16"/>
      <c r="C249" s="11"/>
      <c r="D249" s="11"/>
      <c r="E249" s="12"/>
      <c r="F249" s="14" t="str">
        <f aca="false">IF(A249="","",SUMIFS(Reservations!$G:$G,Reservations!$E:$E,A249,Reservations!$F:$F,B249,Reservations!$D:$D,C249))</f>
        <v/>
      </c>
      <c r="G249" s="14" t="str">
        <f aca="false">IF(OR(A249="",E249=""),"",E249-F249)</f>
        <v/>
      </c>
      <c r="H249" s="15" t="str">
        <f aca="false">IF(G249="","",IF(G249&lt;0,"Surbooké",IF(G249=0,"Complet","Ouvert")))</f>
        <v/>
      </c>
      <c r="I249" s="11"/>
    </row>
    <row r="250" customFormat="false" ht="15" hidden="false" customHeight="false" outlineLevel="0" collapsed="false">
      <c r="A250" s="10"/>
      <c r="B250" s="16"/>
      <c r="C250" s="11"/>
      <c r="D250" s="11"/>
      <c r="E250" s="12"/>
      <c r="F250" s="14" t="str">
        <f aca="false">IF(A250="","",SUMIFS(Reservations!$G:$G,Reservations!$E:$E,A250,Reservations!$F:$F,B250,Reservations!$D:$D,C250))</f>
        <v/>
      </c>
      <c r="G250" s="14" t="str">
        <f aca="false">IF(OR(A250="",E250=""),"",E250-F250)</f>
        <v/>
      </c>
      <c r="H250" s="15" t="str">
        <f aca="false">IF(G250="","",IF(G250&lt;0,"Surbooké",IF(G250=0,"Complet","Ouvert")))</f>
        <v/>
      </c>
      <c r="I250" s="11"/>
    </row>
    <row r="251" customFormat="false" ht="15" hidden="false" customHeight="false" outlineLevel="0" collapsed="false">
      <c r="A251" s="10"/>
      <c r="B251" s="16"/>
      <c r="C251" s="11"/>
      <c r="D251" s="11"/>
      <c r="E251" s="12"/>
      <c r="F251" s="14" t="str">
        <f aca="false">IF(A251="","",SUMIFS(Reservations!$G:$G,Reservations!$E:$E,A251,Reservations!$F:$F,B251,Reservations!$D:$D,C251))</f>
        <v/>
      </c>
      <c r="G251" s="14" t="str">
        <f aca="false">IF(OR(A251="",E251=""),"",E251-F251)</f>
        <v/>
      </c>
      <c r="H251" s="15" t="str">
        <f aca="false">IF(G251="","",IF(G251&lt;0,"Surbooké",IF(G251=0,"Complet","Ouvert")))</f>
        <v/>
      </c>
      <c r="I251" s="11"/>
    </row>
    <row r="252" customFormat="false" ht="15" hidden="false" customHeight="false" outlineLevel="0" collapsed="false">
      <c r="A252" s="10"/>
      <c r="B252" s="16"/>
      <c r="C252" s="11"/>
      <c r="D252" s="11"/>
      <c r="E252" s="12"/>
      <c r="F252" s="14" t="str">
        <f aca="false">IF(A252="","",SUMIFS(Reservations!$G:$G,Reservations!$E:$E,A252,Reservations!$F:$F,B252,Reservations!$D:$D,C252))</f>
        <v/>
      </c>
      <c r="G252" s="14" t="str">
        <f aca="false">IF(OR(A252="",E252=""),"",E252-F252)</f>
        <v/>
      </c>
      <c r="H252" s="15" t="str">
        <f aca="false">IF(G252="","",IF(G252&lt;0,"Surbooké",IF(G252=0,"Complet","Ouvert")))</f>
        <v/>
      </c>
      <c r="I252" s="11"/>
    </row>
    <row r="253" customFormat="false" ht="15" hidden="false" customHeight="false" outlineLevel="0" collapsed="false">
      <c r="A253" s="10"/>
      <c r="B253" s="16"/>
      <c r="C253" s="11"/>
      <c r="D253" s="11"/>
      <c r="E253" s="12"/>
      <c r="F253" s="14" t="str">
        <f aca="false">IF(A253="","",SUMIFS(Reservations!$G:$G,Reservations!$E:$E,A253,Reservations!$F:$F,B253,Reservations!$D:$D,C253))</f>
        <v/>
      </c>
      <c r="G253" s="14" t="str">
        <f aca="false">IF(OR(A253="",E253=""),"",E253-F253)</f>
        <v/>
      </c>
      <c r="H253" s="15" t="str">
        <f aca="false">IF(G253="","",IF(G253&lt;0,"Surbooké",IF(G253=0,"Complet","Ouvert")))</f>
        <v/>
      </c>
      <c r="I253" s="11"/>
    </row>
    <row r="254" customFormat="false" ht="15" hidden="false" customHeight="false" outlineLevel="0" collapsed="false">
      <c r="A254" s="10"/>
      <c r="B254" s="16"/>
      <c r="C254" s="11"/>
      <c r="D254" s="11"/>
      <c r="E254" s="12"/>
      <c r="F254" s="14" t="str">
        <f aca="false">IF(A254="","",SUMIFS(Reservations!$G:$G,Reservations!$E:$E,A254,Reservations!$F:$F,B254,Reservations!$D:$D,C254))</f>
        <v/>
      </c>
      <c r="G254" s="14" t="str">
        <f aca="false">IF(OR(A254="",E254=""),"",E254-F254)</f>
        <v/>
      </c>
      <c r="H254" s="15" t="str">
        <f aca="false">IF(G254="","",IF(G254&lt;0,"Surbooké",IF(G254=0,"Complet","Ouvert")))</f>
        <v/>
      </c>
      <c r="I254" s="11"/>
    </row>
    <row r="255" customFormat="false" ht="15" hidden="false" customHeight="false" outlineLevel="0" collapsed="false">
      <c r="A255" s="10"/>
      <c r="B255" s="16"/>
      <c r="C255" s="11"/>
      <c r="D255" s="11"/>
      <c r="E255" s="12"/>
      <c r="F255" s="14" t="str">
        <f aca="false">IF(A255="","",SUMIFS(Reservations!$G:$G,Reservations!$E:$E,A255,Reservations!$F:$F,B255,Reservations!$D:$D,C255))</f>
        <v/>
      </c>
      <c r="G255" s="14" t="str">
        <f aca="false">IF(OR(A255="",E255=""),"",E255-F255)</f>
        <v/>
      </c>
      <c r="H255" s="15" t="str">
        <f aca="false">IF(G255="","",IF(G255&lt;0,"Surbooké",IF(G255=0,"Complet","Ouvert")))</f>
        <v/>
      </c>
      <c r="I255" s="11"/>
    </row>
    <row r="256" customFormat="false" ht="15" hidden="false" customHeight="false" outlineLevel="0" collapsed="false">
      <c r="A256" s="10"/>
      <c r="B256" s="16"/>
      <c r="C256" s="11"/>
      <c r="D256" s="11"/>
      <c r="E256" s="12"/>
      <c r="F256" s="14" t="str">
        <f aca="false">IF(A256="","",SUMIFS(Reservations!$G:$G,Reservations!$E:$E,A256,Reservations!$F:$F,B256,Reservations!$D:$D,C256))</f>
        <v/>
      </c>
      <c r="G256" s="14" t="str">
        <f aca="false">IF(OR(A256="",E256=""),"",E256-F256)</f>
        <v/>
      </c>
      <c r="H256" s="15" t="str">
        <f aca="false">IF(G256="","",IF(G256&lt;0,"Surbooké",IF(G256=0,"Complet","Ouvert")))</f>
        <v/>
      </c>
      <c r="I256" s="11"/>
    </row>
    <row r="257" customFormat="false" ht="15" hidden="false" customHeight="false" outlineLevel="0" collapsed="false">
      <c r="A257" s="10"/>
      <c r="B257" s="16"/>
      <c r="C257" s="11"/>
      <c r="D257" s="11"/>
      <c r="E257" s="12"/>
      <c r="F257" s="14" t="str">
        <f aca="false">IF(A257="","",SUMIFS(Reservations!$G:$G,Reservations!$E:$E,A257,Reservations!$F:$F,B257,Reservations!$D:$D,C257))</f>
        <v/>
      </c>
      <c r="G257" s="14" t="str">
        <f aca="false">IF(OR(A257="",E257=""),"",E257-F257)</f>
        <v/>
      </c>
      <c r="H257" s="15" t="str">
        <f aca="false">IF(G257="","",IF(G257&lt;0,"Surbooké",IF(G257=0,"Complet","Ouvert")))</f>
        <v/>
      </c>
      <c r="I257" s="11"/>
    </row>
    <row r="258" customFormat="false" ht="15" hidden="false" customHeight="false" outlineLevel="0" collapsed="false">
      <c r="A258" s="10"/>
      <c r="B258" s="16"/>
      <c r="C258" s="11"/>
      <c r="D258" s="11"/>
      <c r="E258" s="12"/>
      <c r="F258" s="14" t="str">
        <f aca="false">IF(A258="","",SUMIFS(Reservations!$G:$G,Reservations!$E:$E,A258,Reservations!$F:$F,B258,Reservations!$D:$D,C258))</f>
        <v/>
      </c>
      <c r="G258" s="14" t="str">
        <f aca="false">IF(OR(A258="",E258=""),"",E258-F258)</f>
        <v/>
      </c>
      <c r="H258" s="15" t="str">
        <f aca="false">IF(G258="","",IF(G258&lt;0,"Surbooké",IF(G258=0,"Complet","Ouvert")))</f>
        <v/>
      </c>
      <c r="I258" s="11"/>
    </row>
    <row r="259" customFormat="false" ht="15" hidden="false" customHeight="false" outlineLevel="0" collapsed="false">
      <c r="A259" s="10"/>
      <c r="B259" s="16"/>
      <c r="C259" s="11"/>
      <c r="D259" s="11"/>
      <c r="E259" s="12"/>
      <c r="F259" s="14" t="str">
        <f aca="false">IF(A259="","",SUMIFS(Reservations!$G:$G,Reservations!$E:$E,A259,Reservations!$F:$F,B259,Reservations!$D:$D,C259))</f>
        <v/>
      </c>
      <c r="G259" s="14" t="str">
        <f aca="false">IF(OR(A259="",E259=""),"",E259-F259)</f>
        <v/>
      </c>
      <c r="H259" s="15" t="str">
        <f aca="false">IF(G259="","",IF(G259&lt;0,"Surbooké",IF(G259=0,"Complet","Ouvert")))</f>
        <v/>
      </c>
      <c r="I259" s="11"/>
    </row>
    <row r="260" customFormat="false" ht="15" hidden="false" customHeight="false" outlineLevel="0" collapsed="false">
      <c r="A260" s="10"/>
      <c r="B260" s="16"/>
      <c r="C260" s="11"/>
      <c r="D260" s="11"/>
      <c r="E260" s="12"/>
      <c r="F260" s="14" t="str">
        <f aca="false">IF(A260="","",SUMIFS(Reservations!$G:$G,Reservations!$E:$E,A260,Reservations!$F:$F,B260,Reservations!$D:$D,C260))</f>
        <v/>
      </c>
      <c r="G260" s="14" t="str">
        <f aca="false">IF(OR(A260="",E260=""),"",E260-F260)</f>
        <v/>
      </c>
      <c r="H260" s="15" t="str">
        <f aca="false">IF(G260="","",IF(G260&lt;0,"Surbooké",IF(G260=0,"Complet","Ouvert")))</f>
        <v/>
      </c>
      <c r="I260" s="11"/>
    </row>
    <row r="261" customFormat="false" ht="15" hidden="false" customHeight="false" outlineLevel="0" collapsed="false">
      <c r="A261" s="10"/>
      <c r="B261" s="16"/>
      <c r="C261" s="11"/>
      <c r="D261" s="11"/>
      <c r="E261" s="12"/>
      <c r="F261" s="14" t="str">
        <f aca="false">IF(A261="","",SUMIFS(Reservations!$G:$G,Reservations!$E:$E,A261,Reservations!$F:$F,B261,Reservations!$D:$D,C261))</f>
        <v/>
      </c>
      <c r="G261" s="14" t="str">
        <f aca="false">IF(OR(A261="",E261=""),"",E261-F261)</f>
        <v/>
      </c>
      <c r="H261" s="15" t="str">
        <f aca="false">IF(G261="","",IF(G261&lt;0,"Surbooké",IF(G261=0,"Complet","Ouvert")))</f>
        <v/>
      </c>
      <c r="I261" s="11"/>
    </row>
    <row r="262" customFormat="false" ht="15" hidden="false" customHeight="false" outlineLevel="0" collapsed="false">
      <c r="A262" s="10"/>
      <c r="B262" s="16"/>
      <c r="C262" s="11"/>
      <c r="D262" s="11"/>
      <c r="E262" s="12"/>
      <c r="F262" s="14" t="str">
        <f aca="false">IF(A262="","",SUMIFS(Reservations!$G:$G,Reservations!$E:$E,A262,Reservations!$F:$F,B262,Reservations!$D:$D,C262))</f>
        <v/>
      </c>
      <c r="G262" s="14" t="str">
        <f aca="false">IF(OR(A262="",E262=""),"",E262-F262)</f>
        <v/>
      </c>
      <c r="H262" s="15" t="str">
        <f aca="false">IF(G262="","",IF(G262&lt;0,"Surbooké",IF(G262=0,"Complet","Ouvert")))</f>
        <v/>
      </c>
      <c r="I262" s="11"/>
    </row>
    <row r="263" customFormat="false" ht="15" hidden="false" customHeight="false" outlineLevel="0" collapsed="false">
      <c r="A263" s="10"/>
      <c r="B263" s="16"/>
      <c r="C263" s="11"/>
      <c r="D263" s="11"/>
      <c r="E263" s="12"/>
      <c r="F263" s="14" t="str">
        <f aca="false">IF(A263="","",SUMIFS(Reservations!$G:$G,Reservations!$E:$E,A263,Reservations!$F:$F,B263,Reservations!$D:$D,C263))</f>
        <v/>
      </c>
      <c r="G263" s="14" t="str">
        <f aca="false">IF(OR(A263="",E263=""),"",E263-F263)</f>
        <v/>
      </c>
      <c r="H263" s="15" t="str">
        <f aca="false">IF(G263="","",IF(G263&lt;0,"Surbooké",IF(G263=0,"Complet","Ouvert")))</f>
        <v/>
      </c>
      <c r="I263" s="11"/>
    </row>
    <row r="264" customFormat="false" ht="15" hidden="false" customHeight="false" outlineLevel="0" collapsed="false">
      <c r="A264" s="10"/>
      <c r="B264" s="16"/>
      <c r="C264" s="11"/>
      <c r="D264" s="11"/>
      <c r="E264" s="12"/>
      <c r="F264" s="14" t="str">
        <f aca="false">IF(A264="","",SUMIFS(Reservations!$G:$G,Reservations!$E:$E,A264,Reservations!$F:$F,B264,Reservations!$D:$D,C264))</f>
        <v/>
      </c>
      <c r="G264" s="14" t="str">
        <f aca="false">IF(OR(A264="",E264=""),"",E264-F264)</f>
        <v/>
      </c>
      <c r="H264" s="15" t="str">
        <f aca="false">IF(G264="","",IF(G264&lt;0,"Surbooké",IF(G264=0,"Complet","Ouvert")))</f>
        <v/>
      </c>
      <c r="I264" s="11"/>
    </row>
    <row r="265" customFormat="false" ht="15" hidden="false" customHeight="false" outlineLevel="0" collapsed="false">
      <c r="A265" s="10"/>
      <c r="B265" s="16"/>
      <c r="C265" s="11"/>
      <c r="D265" s="11"/>
      <c r="E265" s="12"/>
      <c r="F265" s="14" t="str">
        <f aca="false">IF(A265="","",SUMIFS(Reservations!$G:$G,Reservations!$E:$E,A265,Reservations!$F:$F,B265,Reservations!$D:$D,C265))</f>
        <v/>
      </c>
      <c r="G265" s="14" t="str">
        <f aca="false">IF(OR(A265="",E265=""),"",E265-F265)</f>
        <v/>
      </c>
      <c r="H265" s="15" t="str">
        <f aca="false">IF(G265="","",IF(G265&lt;0,"Surbooké",IF(G265=0,"Complet","Ouvert")))</f>
        <v/>
      </c>
      <c r="I265" s="11"/>
    </row>
    <row r="266" customFormat="false" ht="15" hidden="false" customHeight="false" outlineLevel="0" collapsed="false">
      <c r="A266" s="10"/>
      <c r="B266" s="16"/>
      <c r="C266" s="11"/>
      <c r="D266" s="11"/>
      <c r="E266" s="12"/>
      <c r="F266" s="14" t="str">
        <f aca="false">IF(A266="","",SUMIFS(Reservations!$G:$G,Reservations!$E:$E,A266,Reservations!$F:$F,B266,Reservations!$D:$D,C266))</f>
        <v/>
      </c>
      <c r="G266" s="14" t="str">
        <f aca="false">IF(OR(A266="",E266=""),"",E266-F266)</f>
        <v/>
      </c>
      <c r="H266" s="15" t="str">
        <f aca="false">IF(G266="","",IF(G266&lt;0,"Surbooké",IF(G266=0,"Complet","Ouvert")))</f>
        <v/>
      </c>
      <c r="I266" s="11"/>
    </row>
    <row r="267" customFormat="false" ht="15" hidden="false" customHeight="false" outlineLevel="0" collapsed="false">
      <c r="A267" s="10"/>
      <c r="B267" s="16"/>
      <c r="C267" s="11"/>
      <c r="D267" s="11"/>
      <c r="E267" s="12"/>
      <c r="F267" s="14" t="str">
        <f aca="false">IF(A267="","",SUMIFS(Reservations!$G:$G,Reservations!$E:$E,A267,Reservations!$F:$F,B267,Reservations!$D:$D,C267))</f>
        <v/>
      </c>
      <c r="G267" s="14" t="str">
        <f aca="false">IF(OR(A267="",E267=""),"",E267-F267)</f>
        <v/>
      </c>
      <c r="H267" s="15" t="str">
        <f aca="false">IF(G267="","",IF(G267&lt;0,"Surbooké",IF(G267=0,"Complet","Ouvert")))</f>
        <v/>
      </c>
      <c r="I267" s="11"/>
    </row>
    <row r="268" customFormat="false" ht="15" hidden="false" customHeight="false" outlineLevel="0" collapsed="false">
      <c r="A268" s="10"/>
      <c r="B268" s="16"/>
      <c r="C268" s="11"/>
      <c r="D268" s="11"/>
      <c r="E268" s="12"/>
      <c r="F268" s="14" t="str">
        <f aca="false">IF(A268="","",SUMIFS(Reservations!$G:$G,Reservations!$E:$E,A268,Reservations!$F:$F,B268,Reservations!$D:$D,C268))</f>
        <v/>
      </c>
      <c r="G268" s="14" t="str">
        <f aca="false">IF(OR(A268="",E268=""),"",E268-F268)</f>
        <v/>
      </c>
      <c r="H268" s="15" t="str">
        <f aca="false">IF(G268="","",IF(G268&lt;0,"Surbooké",IF(G268=0,"Complet","Ouvert")))</f>
        <v/>
      </c>
      <c r="I268" s="11"/>
    </row>
    <row r="269" customFormat="false" ht="15" hidden="false" customHeight="false" outlineLevel="0" collapsed="false">
      <c r="A269" s="10"/>
      <c r="B269" s="16"/>
      <c r="C269" s="11"/>
      <c r="D269" s="11"/>
      <c r="E269" s="12"/>
      <c r="F269" s="14" t="str">
        <f aca="false">IF(A269="","",SUMIFS(Reservations!$G:$G,Reservations!$E:$E,A269,Reservations!$F:$F,B269,Reservations!$D:$D,C269))</f>
        <v/>
      </c>
      <c r="G269" s="14" t="str">
        <f aca="false">IF(OR(A269="",E269=""),"",E269-F269)</f>
        <v/>
      </c>
      <c r="H269" s="15" t="str">
        <f aca="false">IF(G269="","",IF(G269&lt;0,"Surbooké",IF(G269=0,"Complet","Ouvert")))</f>
        <v/>
      </c>
      <c r="I269" s="11"/>
    </row>
    <row r="270" customFormat="false" ht="15" hidden="false" customHeight="false" outlineLevel="0" collapsed="false">
      <c r="A270" s="10"/>
      <c r="B270" s="16"/>
      <c r="C270" s="11"/>
      <c r="D270" s="11"/>
      <c r="E270" s="12"/>
      <c r="F270" s="14" t="str">
        <f aca="false">IF(A270="","",SUMIFS(Reservations!$G:$G,Reservations!$E:$E,A270,Reservations!$F:$F,B270,Reservations!$D:$D,C270))</f>
        <v/>
      </c>
      <c r="G270" s="14" t="str">
        <f aca="false">IF(OR(A270="",E270=""),"",E270-F270)</f>
        <v/>
      </c>
      <c r="H270" s="15" t="str">
        <f aca="false">IF(G270="","",IF(G270&lt;0,"Surbooké",IF(G270=0,"Complet","Ouvert")))</f>
        <v/>
      </c>
      <c r="I270" s="11"/>
    </row>
    <row r="271" customFormat="false" ht="15" hidden="false" customHeight="false" outlineLevel="0" collapsed="false">
      <c r="A271" s="10"/>
      <c r="B271" s="16"/>
      <c r="C271" s="11"/>
      <c r="D271" s="11"/>
      <c r="E271" s="12"/>
      <c r="F271" s="14" t="str">
        <f aca="false">IF(A271="","",SUMIFS(Reservations!$G:$G,Reservations!$E:$E,A271,Reservations!$F:$F,B271,Reservations!$D:$D,C271))</f>
        <v/>
      </c>
      <c r="G271" s="14" t="str">
        <f aca="false">IF(OR(A271="",E271=""),"",E271-F271)</f>
        <v/>
      </c>
      <c r="H271" s="15" t="str">
        <f aca="false">IF(G271="","",IF(G271&lt;0,"Surbooké",IF(G271=0,"Complet","Ouvert")))</f>
        <v/>
      </c>
      <c r="I271" s="11"/>
    </row>
    <row r="272" customFormat="false" ht="15" hidden="false" customHeight="false" outlineLevel="0" collapsed="false">
      <c r="A272" s="10"/>
      <c r="B272" s="16"/>
      <c r="C272" s="11"/>
      <c r="D272" s="11"/>
      <c r="E272" s="12"/>
      <c r="F272" s="14" t="str">
        <f aca="false">IF(A272="","",SUMIFS(Reservations!$G:$G,Reservations!$E:$E,A272,Reservations!$F:$F,B272,Reservations!$D:$D,C272))</f>
        <v/>
      </c>
      <c r="G272" s="14" t="str">
        <f aca="false">IF(OR(A272="",E272=""),"",E272-F272)</f>
        <v/>
      </c>
      <c r="H272" s="15" t="str">
        <f aca="false">IF(G272="","",IF(G272&lt;0,"Surbooké",IF(G272=0,"Complet","Ouvert")))</f>
        <v/>
      </c>
      <c r="I272" s="11"/>
    </row>
    <row r="273" customFormat="false" ht="15" hidden="false" customHeight="false" outlineLevel="0" collapsed="false">
      <c r="A273" s="10"/>
      <c r="B273" s="16"/>
      <c r="C273" s="11"/>
      <c r="D273" s="11"/>
      <c r="E273" s="12"/>
      <c r="F273" s="14" t="str">
        <f aca="false">IF(A273="","",SUMIFS(Reservations!$G:$G,Reservations!$E:$E,A273,Reservations!$F:$F,B273,Reservations!$D:$D,C273))</f>
        <v/>
      </c>
      <c r="G273" s="14" t="str">
        <f aca="false">IF(OR(A273="",E273=""),"",E273-F273)</f>
        <v/>
      </c>
      <c r="H273" s="15" t="str">
        <f aca="false">IF(G273="","",IF(G273&lt;0,"Surbooké",IF(G273=0,"Complet","Ouvert")))</f>
        <v/>
      </c>
      <c r="I273" s="11"/>
    </row>
    <row r="274" customFormat="false" ht="15" hidden="false" customHeight="false" outlineLevel="0" collapsed="false">
      <c r="A274" s="10"/>
      <c r="B274" s="16"/>
      <c r="C274" s="11"/>
      <c r="D274" s="11"/>
      <c r="E274" s="12"/>
      <c r="F274" s="14" t="str">
        <f aca="false">IF(A274="","",SUMIFS(Reservations!$G:$G,Reservations!$E:$E,A274,Reservations!$F:$F,B274,Reservations!$D:$D,C274))</f>
        <v/>
      </c>
      <c r="G274" s="14" t="str">
        <f aca="false">IF(OR(A274="",E274=""),"",E274-F274)</f>
        <v/>
      </c>
      <c r="H274" s="15" t="str">
        <f aca="false">IF(G274="","",IF(G274&lt;0,"Surbooké",IF(G274=0,"Complet","Ouvert")))</f>
        <v/>
      </c>
      <c r="I274" s="11"/>
    </row>
    <row r="275" customFormat="false" ht="15" hidden="false" customHeight="false" outlineLevel="0" collapsed="false">
      <c r="A275" s="10"/>
      <c r="B275" s="16"/>
      <c r="C275" s="11"/>
      <c r="D275" s="11"/>
      <c r="E275" s="12"/>
      <c r="F275" s="14" t="str">
        <f aca="false">IF(A275="","",SUMIFS(Reservations!$G:$G,Reservations!$E:$E,A275,Reservations!$F:$F,B275,Reservations!$D:$D,C275))</f>
        <v/>
      </c>
      <c r="G275" s="14" t="str">
        <f aca="false">IF(OR(A275="",E275=""),"",E275-F275)</f>
        <v/>
      </c>
      <c r="H275" s="15" t="str">
        <f aca="false">IF(G275="","",IF(G275&lt;0,"Surbooké",IF(G275=0,"Complet","Ouvert")))</f>
        <v/>
      </c>
      <c r="I275" s="11"/>
    </row>
    <row r="276" customFormat="false" ht="15" hidden="false" customHeight="false" outlineLevel="0" collapsed="false">
      <c r="A276" s="10"/>
      <c r="B276" s="16"/>
      <c r="C276" s="11"/>
      <c r="D276" s="11"/>
      <c r="E276" s="12"/>
      <c r="F276" s="14" t="str">
        <f aca="false">IF(A276="","",SUMIFS(Reservations!$G:$G,Reservations!$E:$E,A276,Reservations!$F:$F,B276,Reservations!$D:$D,C276))</f>
        <v/>
      </c>
      <c r="G276" s="14" t="str">
        <f aca="false">IF(OR(A276="",E276=""),"",E276-F276)</f>
        <v/>
      </c>
      <c r="H276" s="15" t="str">
        <f aca="false">IF(G276="","",IF(G276&lt;0,"Surbooké",IF(G276=0,"Complet","Ouvert")))</f>
        <v/>
      </c>
      <c r="I276" s="11"/>
    </row>
    <row r="277" customFormat="false" ht="15" hidden="false" customHeight="false" outlineLevel="0" collapsed="false">
      <c r="A277" s="10"/>
      <c r="B277" s="16"/>
      <c r="C277" s="11"/>
      <c r="D277" s="11"/>
      <c r="E277" s="12"/>
      <c r="F277" s="14" t="str">
        <f aca="false">IF(A277="","",SUMIFS(Reservations!$G:$G,Reservations!$E:$E,A277,Reservations!$F:$F,B277,Reservations!$D:$D,C277))</f>
        <v/>
      </c>
      <c r="G277" s="14" t="str">
        <f aca="false">IF(OR(A277="",E277=""),"",E277-F277)</f>
        <v/>
      </c>
      <c r="H277" s="15" t="str">
        <f aca="false">IF(G277="","",IF(G277&lt;0,"Surbooké",IF(G277=0,"Complet","Ouvert")))</f>
        <v/>
      </c>
      <c r="I277" s="11"/>
    </row>
    <row r="278" customFormat="false" ht="15" hidden="false" customHeight="false" outlineLevel="0" collapsed="false">
      <c r="A278" s="10"/>
      <c r="B278" s="16"/>
      <c r="C278" s="11"/>
      <c r="D278" s="11"/>
      <c r="E278" s="12"/>
      <c r="F278" s="14" t="str">
        <f aca="false">IF(A278="","",SUMIFS(Reservations!$G:$G,Reservations!$E:$E,A278,Reservations!$F:$F,B278,Reservations!$D:$D,C278))</f>
        <v/>
      </c>
      <c r="G278" s="14" t="str">
        <f aca="false">IF(OR(A278="",E278=""),"",E278-F278)</f>
        <v/>
      </c>
      <c r="H278" s="15" t="str">
        <f aca="false">IF(G278="","",IF(G278&lt;0,"Surbooké",IF(G278=0,"Complet","Ouvert")))</f>
        <v/>
      </c>
      <c r="I278" s="11"/>
    </row>
    <row r="279" customFormat="false" ht="15" hidden="false" customHeight="false" outlineLevel="0" collapsed="false">
      <c r="A279" s="10"/>
      <c r="B279" s="16"/>
      <c r="C279" s="11"/>
      <c r="D279" s="11"/>
      <c r="E279" s="12"/>
      <c r="F279" s="14" t="str">
        <f aca="false">IF(A279="","",SUMIFS(Reservations!$G:$G,Reservations!$E:$E,A279,Reservations!$F:$F,B279,Reservations!$D:$D,C279))</f>
        <v/>
      </c>
      <c r="G279" s="14" t="str">
        <f aca="false">IF(OR(A279="",E279=""),"",E279-F279)</f>
        <v/>
      </c>
      <c r="H279" s="15" t="str">
        <f aca="false">IF(G279="","",IF(G279&lt;0,"Surbooké",IF(G279=0,"Complet","Ouvert")))</f>
        <v/>
      </c>
      <c r="I279" s="11"/>
    </row>
    <row r="280" customFormat="false" ht="15" hidden="false" customHeight="false" outlineLevel="0" collapsed="false">
      <c r="A280" s="10"/>
      <c r="B280" s="16"/>
      <c r="C280" s="11"/>
      <c r="D280" s="11"/>
      <c r="E280" s="12"/>
      <c r="F280" s="14" t="str">
        <f aca="false">IF(A280="","",SUMIFS(Reservations!$G:$G,Reservations!$E:$E,A280,Reservations!$F:$F,B280,Reservations!$D:$D,C280))</f>
        <v/>
      </c>
      <c r="G280" s="14" t="str">
        <f aca="false">IF(OR(A280="",E280=""),"",E280-F280)</f>
        <v/>
      </c>
      <c r="H280" s="15" t="str">
        <f aca="false">IF(G280="","",IF(G280&lt;0,"Surbooké",IF(G280=0,"Complet","Ouvert")))</f>
        <v/>
      </c>
      <c r="I280" s="11"/>
    </row>
    <row r="281" customFormat="false" ht="15" hidden="false" customHeight="false" outlineLevel="0" collapsed="false">
      <c r="A281" s="10"/>
      <c r="B281" s="16"/>
      <c r="C281" s="11"/>
      <c r="D281" s="11"/>
      <c r="E281" s="12"/>
      <c r="F281" s="14" t="str">
        <f aca="false">IF(A281="","",SUMIFS(Reservations!$G:$G,Reservations!$E:$E,A281,Reservations!$F:$F,B281,Reservations!$D:$D,C281))</f>
        <v/>
      </c>
      <c r="G281" s="14" t="str">
        <f aca="false">IF(OR(A281="",E281=""),"",E281-F281)</f>
        <v/>
      </c>
      <c r="H281" s="15" t="str">
        <f aca="false">IF(G281="","",IF(G281&lt;0,"Surbooké",IF(G281=0,"Complet","Ouvert")))</f>
        <v/>
      </c>
      <c r="I281" s="11"/>
    </row>
    <row r="282" customFormat="false" ht="15" hidden="false" customHeight="false" outlineLevel="0" collapsed="false">
      <c r="A282" s="10"/>
      <c r="B282" s="16"/>
      <c r="C282" s="11"/>
      <c r="D282" s="11"/>
      <c r="E282" s="12"/>
      <c r="F282" s="14" t="str">
        <f aca="false">IF(A282="","",SUMIFS(Reservations!$G:$G,Reservations!$E:$E,A282,Reservations!$F:$F,B282,Reservations!$D:$D,C282))</f>
        <v/>
      </c>
      <c r="G282" s="14" t="str">
        <f aca="false">IF(OR(A282="",E282=""),"",E282-F282)</f>
        <v/>
      </c>
      <c r="H282" s="15" t="str">
        <f aca="false">IF(G282="","",IF(G282&lt;0,"Surbooké",IF(G282=0,"Complet","Ouvert")))</f>
        <v/>
      </c>
      <c r="I282" s="11"/>
    </row>
    <row r="283" customFormat="false" ht="15" hidden="false" customHeight="false" outlineLevel="0" collapsed="false">
      <c r="A283" s="10"/>
      <c r="B283" s="16"/>
      <c r="C283" s="11"/>
      <c r="D283" s="11"/>
      <c r="E283" s="12"/>
      <c r="F283" s="14" t="str">
        <f aca="false">IF(A283="","",SUMIFS(Reservations!$G:$G,Reservations!$E:$E,A283,Reservations!$F:$F,B283,Reservations!$D:$D,C283))</f>
        <v/>
      </c>
      <c r="G283" s="14" t="str">
        <f aca="false">IF(OR(A283="",E283=""),"",E283-F283)</f>
        <v/>
      </c>
      <c r="H283" s="15" t="str">
        <f aca="false">IF(G283="","",IF(G283&lt;0,"Surbooké",IF(G283=0,"Complet","Ouvert")))</f>
        <v/>
      </c>
      <c r="I283" s="11"/>
    </row>
    <row r="284" customFormat="false" ht="15" hidden="false" customHeight="false" outlineLevel="0" collapsed="false">
      <c r="A284" s="10"/>
      <c r="B284" s="16"/>
      <c r="C284" s="11"/>
      <c r="D284" s="11"/>
      <c r="E284" s="12"/>
      <c r="F284" s="14" t="str">
        <f aca="false">IF(A284="","",SUMIFS(Reservations!$G:$G,Reservations!$E:$E,A284,Reservations!$F:$F,B284,Reservations!$D:$D,C284))</f>
        <v/>
      </c>
      <c r="G284" s="14" t="str">
        <f aca="false">IF(OR(A284="",E284=""),"",E284-F284)</f>
        <v/>
      </c>
      <c r="H284" s="15" t="str">
        <f aca="false">IF(G284="","",IF(G284&lt;0,"Surbooké",IF(G284=0,"Complet","Ouvert")))</f>
        <v/>
      </c>
      <c r="I284" s="11"/>
    </row>
    <row r="285" customFormat="false" ht="15" hidden="false" customHeight="false" outlineLevel="0" collapsed="false">
      <c r="A285" s="10"/>
      <c r="B285" s="16"/>
      <c r="C285" s="11"/>
      <c r="D285" s="11"/>
      <c r="E285" s="12"/>
      <c r="F285" s="14" t="str">
        <f aca="false">IF(A285="","",SUMIFS(Reservations!$G:$G,Reservations!$E:$E,A285,Reservations!$F:$F,B285,Reservations!$D:$D,C285))</f>
        <v/>
      </c>
      <c r="G285" s="14" t="str">
        <f aca="false">IF(OR(A285="",E285=""),"",E285-F285)</f>
        <v/>
      </c>
      <c r="H285" s="15" t="str">
        <f aca="false">IF(G285="","",IF(G285&lt;0,"Surbooké",IF(G285=0,"Complet","Ouvert")))</f>
        <v/>
      </c>
      <c r="I285" s="11"/>
    </row>
    <row r="286" customFormat="false" ht="15" hidden="false" customHeight="false" outlineLevel="0" collapsed="false">
      <c r="A286" s="10"/>
      <c r="B286" s="16"/>
      <c r="C286" s="11"/>
      <c r="D286" s="11"/>
      <c r="E286" s="12"/>
      <c r="F286" s="14" t="str">
        <f aca="false">IF(A286="","",SUMIFS(Reservations!$G:$G,Reservations!$E:$E,A286,Reservations!$F:$F,B286,Reservations!$D:$D,C286))</f>
        <v/>
      </c>
      <c r="G286" s="14" t="str">
        <f aca="false">IF(OR(A286="",E286=""),"",E286-F286)</f>
        <v/>
      </c>
      <c r="H286" s="15" t="str">
        <f aca="false">IF(G286="","",IF(G286&lt;0,"Surbooké",IF(G286=0,"Complet","Ouvert")))</f>
        <v/>
      </c>
      <c r="I286" s="11"/>
    </row>
    <row r="287" customFormat="false" ht="15" hidden="false" customHeight="false" outlineLevel="0" collapsed="false">
      <c r="A287" s="10"/>
      <c r="B287" s="16"/>
      <c r="C287" s="11"/>
      <c r="D287" s="11"/>
      <c r="E287" s="12"/>
      <c r="F287" s="14" t="str">
        <f aca="false">IF(A287="","",SUMIFS(Reservations!$G:$G,Reservations!$E:$E,A287,Reservations!$F:$F,B287,Reservations!$D:$D,C287))</f>
        <v/>
      </c>
      <c r="G287" s="14" t="str">
        <f aca="false">IF(OR(A287="",E287=""),"",E287-F287)</f>
        <v/>
      </c>
      <c r="H287" s="15" t="str">
        <f aca="false">IF(G287="","",IF(G287&lt;0,"Surbooké",IF(G287=0,"Complet","Ouvert")))</f>
        <v/>
      </c>
      <c r="I287" s="11"/>
    </row>
    <row r="288" customFormat="false" ht="15" hidden="false" customHeight="false" outlineLevel="0" collapsed="false">
      <c r="A288" s="10"/>
      <c r="B288" s="16"/>
      <c r="C288" s="11"/>
      <c r="D288" s="11"/>
      <c r="E288" s="12"/>
      <c r="F288" s="14" t="str">
        <f aca="false">IF(A288="","",SUMIFS(Reservations!$G:$G,Reservations!$E:$E,A288,Reservations!$F:$F,B288,Reservations!$D:$D,C288))</f>
        <v/>
      </c>
      <c r="G288" s="14" t="str">
        <f aca="false">IF(OR(A288="",E288=""),"",E288-F288)</f>
        <v/>
      </c>
      <c r="H288" s="15" t="str">
        <f aca="false">IF(G288="","",IF(G288&lt;0,"Surbooké",IF(G288=0,"Complet","Ouvert")))</f>
        <v/>
      </c>
      <c r="I288" s="11"/>
    </row>
    <row r="289" customFormat="false" ht="15" hidden="false" customHeight="false" outlineLevel="0" collapsed="false">
      <c r="A289" s="10"/>
      <c r="B289" s="16"/>
      <c r="C289" s="11"/>
      <c r="D289" s="11"/>
      <c r="E289" s="12"/>
      <c r="F289" s="14" t="str">
        <f aca="false">IF(A289="","",SUMIFS(Reservations!$G:$G,Reservations!$E:$E,A289,Reservations!$F:$F,B289,Reservations!$D:$D,C289))</f>
        <v/>
      </c>
      <c r="G289" s="14" t="str">
        <f aca="false">IF(OR(A289="",E289=""),"",E289-F289)</f>
        <v/>
      </c>
      <c r="H289" s="15" t="str">
        <f aca="false">IF(G289="","",IF(G289&lt;0,"Surbooké",IF(G289=0,"Complet","Ouvert")))</f>
        <v/>
      </c>
      <c r="I289" s="11"/>
    </row>
    <row r="290" customFormat="false" ht="15" hidden="false" customHeight="false" outlineLevel="0" collapsed="false">
      <c r="A290" s="10"/>
      <c r="B290" s="16"/>
      <c r="C290" s="11"/>
      <c r="D290" s="11"/>
      <c r="E290" s="12"/>
      <c r="F290" s="14" t="str">
        <f aca="false">IF(A290="","",SUMIFS(Reservations!$G:$G,Reservations!$E:$E,A290,Reservations!$F:$F,B290,Reservations!$D:$D,C290))</f>
        <v/>
      </c>
      <c r="G290" s="14" t="str">
        <f aca="false">IF(OR(A290="",E290=""),"",E290-F290)</f>
        <v/>
      </c>
      <c r="H290" s="15" t="str">
        <f aca="false">IF(G290="","",IF(G290&lt;0,"Surbooké",IF(G290=0,"Complet","Ouvert")))</f>
        <v/>
      </c>
      <c r="I290" s="11"/>
    </row>
    <row r="291" customFormat="false" ht="15" hidden="false" customHeight="false" outlineLevel="0" collapsed="false">
      <c r="A291" s="10"/>
      <c r="B291" s="16"/>
      <c r="C291" s="11"/>
      <c r="D291" s="11"/>
      <c r="E291" s="12"/>
      <c r="F291" s="14" t="str">
        <f aca="false">IF(A291="","",SUMIFS(Reservations!$G:$G,Reservations!$E:$E,A291,Reservations!$F:$F,B291,Reservations!$D:$D,C291))</f>
        <v/>
      </c>
      <c r="G291" s="14" t="str">
        <f aca="false">IF(OR(A291="",E291=""),"",E291-F291)</f>
        <v/>
      </c>
      <c r="H291" s="15" t="str">
        <f aca="false">IF(G291="","",IF(G291&lt;0,"Surbooké",IF(G291=0,"Complet","Ouvert")))</f>
        <v/>
      </c>
      <c r="I291" s="11"/>
    </row>
    <row r="292" customFormat="false" ht="15" hidden="false" customHeight="false" outlineLevel="0" collapsed="false">
      <c r="A292" s="10"/>
      <c r="B292" s="16"/>
      <c r="C292" s="11"/>
      <c r="D292" s="11"/>
      <c r="E292" s="12"/>
      <c r="F292" s="14" t="str">
        <f aca="false">IF(A292="","",SUMIFS(Reservations!$G:$G,Reservations!$E:$E,A292,Reservations!$F:$F,B292,Reservations!$D:$D,C292))</f>
        <v/>
      </c>
      <c r="G292" s="14" t="str">
        <f aca="false">IF(OR(A292="",E292=""),"",E292-F292)</f>
        <v/>
      </c>
      <c r="H292" s="15" t="str">
        <f aca="false">IF(G292="","",IF(G292&lt;0,"Surbooké",IF(G292=0,"Complet","Ouvert")))</f>
        <v/>
      </c>
      <c r="I292" s="11"/>
    </row>
    <row r="293" customFormat="false" ht="15" hidden="false" customHeight="false" outlineLevel="0" collapsed="false">
      <c r="A293" s="10"/>
      <c r="B293" s="16"/>
      <c r="C293" s="11"/>
      <c r="D293" s="11"/>
      <c r="E293" s="12"/>
      <c r="F293" s="14" t="str">
        <f aca="false">IF(A293="","",SUMIFS(Reservations!$G:$G,Reservations!$E:$E,A293,Reservations!$F:$F,B293,Reservations!$D:$D,C293))</f>
        <v/>
      </c>
      <c r="G293" s="14" t="str">
        <f aca="false">IF(OR(A293="",E293=""),"",E293-F293)</f>
        <v/>
      </c>
      <c r="H293" s="15" t="str">
        <f aca="false">IF(G293="","",IF(G293&lt;0,"Surbooké",IF(G293=0,"Complet","Ouvert")))</f>
        <v/>
      </c>
      <c r="I293" s="11"/>
    </row>
    <row r="294" customFormat="false" ht="15" hidden="false" customHeight="false" outlineLevel="0" collapsed="false">
      <c r="A294" s="10"/>
      <c r="B294" s="16"/>
      <c r="C294" s="11"/>
      <c r="D294" s="11"/>
      <c r="E294" s="12"/>
      <c r="F294" s="14" t="str">
        <f aca="false">IF(A294="","",SUMIFS(Reservations!$G:$G,Reservations!$E:$E,A294,Reservations!$F:$F,B294,Reservations!$D:$D,C294))</f>
        <v/>
      </c>
      <c r="G294" s="14" t="str">
        <f aca="false">IF(OR(A294="",E294=""),"",E294-F294)</f>
        <v/>
      </c>
      <c r="H294" s="15" t="str">
        <f aca="false">IF(G294="","",IF(G294&lt;0,"Surbooké",IF(G294=0,"Complet","Ouvert")))</f>
        <v/>
      </c>
      <c r="I294" s="11"/>
    </row>
    <row r="295" customFormat="false" ht="15" hidden="false" customHeight="false" outlineLevel="0" collapsed="false">
      <c r="A295" s="10"/>
      <c r="B295" s="16"/>
      <c r="C295" s="11"/>
      <c r="D295" s="11"/>
      <c r="E295" s="12"/>
      <c r="F295" s="14" t="str">
        <f aca="false">IF(A295="","",SUMIFS(Reservations!$G:$G,Reservations!$E:$E,A295,Reservations!$F:$F,B295,Reservations!$D:$D,C295))</f>
        <v/>
      </c>
      <c r="G295" s="14" t="str">
        <f aca="false">IF(OR(A295="",E295=""),"",E295-F295)</f>
        <v/>
      </c>
      <c r="H295" s="15" t="str">
        <f aca="false">IF(G295="","",IF(G295&lt;0,"Surbooké",IF(G295=0,"Complet","Ouvert")))</f>
        <v/>
      </c>
      <c r="I295" s="11"/>
    </row>
    <row r="296" customFormat="false" ht="15" hidden="false" customHeight="false" outlineLevel="0" collapsed="false">
      <c r="A296" s="10"/>
      <c r="B296" s="16"/>
      <c r="C296" s="11"/>
      <c r="D296" s="11"/>
      <c r="E296" s="12"/>
      <c r="F296" s="14" t="str">
        <f aca="false">IF(A296="","",SUMIFS(Reservations!$G:$G,Reservations!$E:$E,A296,Reservations!$F:$F,B296,Reservations!$D:$D,C296))</f>
        <v/>
      </c>
      <c r="G296" s="14" t="str">
        <f aca="false">IF(OR(A296="",E296=""),"",E296-F296)</f>
        <v/>
      </c>
      <c r="H296" s="15" t="str">
        <f aca="false">IF(G296="","",IF(G296&lt;0,"Surbooké",IF(G296=0,"Complet","Ouvert")))</f>
        <v/>
      </c>
      <c r="I296" s="11"/>
    </row>
    <row r="297" customFormat="false" ht="15" hidden="false" customHeight="false" outlineLevel="0" collapsed="false">
      <c r="A297" s="10"/>
      <c r="B297" s="16"/>
      <c r="C297" s="11"/>
      <c r="D297" s="11"/>
      <c r="E297" s="12"/>
      <c r="F297" s="14" t="str">
        <f aca="false">IF(A297="","",SUMIFS(Reservations!$G:$G,Reservations!$E:$E,A297,Reservations!$F:$F,B297,Reservations!$D:$D,C297))</f>
        <v/>
      </c>
      <c r="G297" s="14" t="str">
        <f aca="false">IF(OR(A297="",E297=""),"",E297-F297)</f>
        <v/>
      </c>
      <c r="H297" s="15" t="str">
        <f aca="false">IF(G297="","",IF(G297&lt;0,"Surbooké",IF(G297=0,"Complet","Ouvert")))</f>
        <v/>
      </c>
      <c r="I297" s="11"/>
    </row>
    <row r="298" customFormat="false" ht="15" hidden="false" customHeight="false" outlineLevel="0" collapsed="false">
      <c r="A298" s="10"/>
      <c r="B298" s="16"/>
      <c r="C298" s="11"/>
      <c r="D298" s="11"/>
      <c r="E298" s="12"/>
      <c r="F298" s="14" t="str">
        <f aca="false">IF(A298="","",SUMIFS(Reservations!$G:$G,Reservations!$E:$E,A298,Reservations!$F:$F,B298,Reservations!$D:$D,C298))</f>
        <v/>
      </c>
      <c r="G298" s="14" t="str">
        <f aca="false">IF(OR(A298="",E298=""),"",E298-F298)</f>
        <v/>
      </c>
      <c r="H298" s="15" t="str">
        <f aca="false">IF(G298="","",IF(G298&lt;0,"Surbooké",IF(G298=0,"Complet","Ouvert")))</f>
        <v/>
      </c>
      <c r="I298" s="11"/>
    </row>
    <row r="299" customFormat="false" ht="15" hidden="false" customHeight="false" outlineLevel="0" collapsed="false">
      <c r="A299" s="10"/>
      <c r="B299" s="16"/>
      <c r="C299" s="11"/>
      <c r="D299" s="11"/>
      <c r="E299" s="12"/>
      <c r="F299" s="14" t="str">
        <f aca="false">IF(A299="","",SUMIFS(Reservations!$G:$G,Reservations!$E:$E,A299,Reservations!$F:$F,B299,Reservations!$D:$D,C299))</f>
        <v/>
      </c>
      <c r="G299" s="14" t="str">
        <f aca="false">IF(OR(A299="",E299=""),"",E299-F299)</f>
        <v/>
      </c>
      <c r="H299" s="15" t="str">
        <f aca="false">IF(G299="","",IF(G299&lt;0,"Surbooké",IF(G299=0,"Complet","Ouvert")))</f>
        <v/>
      </c>
      <c r="I299" s="11"/>
    </row>
    <row r="300" customFormat="false" ht="15" hidden="false" customHeight="false" outlineLevel="0" collapsed="false">
      <c r="A300" s="10"/>
      <c r="B300" s="16"/>
      <c r="C300" s="11"/>
      <c r="D300" s="11"/>
      <c r="E300" s="12"/>
      <c r="F300" s="14" t="str">
        <f aca="false">IF(A300="","",SUMIFS(Reservations!$G:$G,Reservations!$E:$E,A300,Reservations!$F:$F,B300,Reservations!$D:$D,C300))</f>
        <v/>
      </c>
      <c r="G300" s="14" t="str">
        <f aca="false">IF(OR(A300="",E300=""),"",E300-F300)</f>
        <v/>
      </c>
      <c r="H300" s="15" t="str">
        <f aca="false">IF(G300="","",IF(G300&lt;0,"Surbooké",IF(G300=0,"Complet","Ouvert")))</f>
        <v/>
      </c>
      <c r="I300" s="11"/>
    </row>
    <row r="301" customFormat="false" ht="15" hidden="false" customHeight="false" outlineLevel="0" collapsed="false">
      <c r="A301" s="10"/>
      <c r="B301" s="16"/>
      <c r="C301" s="11"/>
      <c r="D301" s="11"/>
      <c r="E301" s="12"/>
      <c r="F301" s="14" t="str">
        <f aca="false">IF(A301="","",SUMIFS(Reservations!$G:$G,Reservations!$E:$E,A301,Reservations!$F:$F,B301,Reservations!$D:$D,C301))</f>
        <v/>
      </c>
      <c r="G301" s="14" t="str">
        <f aca="false">IF(OR(A301="",E301=""),"",E301-F301)</f>
        <v/>
      </c>
      <c r="H301" s="15" t="str">
        <f aca="false">IF(G301="","",IF(G301&lt;0,"Surbooké",IF(G301=0,"Complet","Ouvert")))</f>
        <v/>
      </c>
      <c r="I301" s="11"/>
    </row>
  </sheetData>
  <autoFilter ref="A1:I301"/>
  <conditionalFormatting sqref="A2:I301">
    <cfRule type="expression" priority="2" aboveAverage="0" equalAverage="0" bottom="0" percent="0" rank="0" text="" dxfId="8">
      <formula>$H2="Complet"</formula>
    </cfRule>
    <cfRule type="expression" priority="3" aboveAverage="0" equalAverage="0" bottom="0" percent="0" rank="0" text="" dxfId="9">
      <formula>$H2="Surbooké"</formula>
    </cfRule>
  </conditionalFormatting>
  <dataValidations count="2">
    <dataValidation allowBlank="true" errorStyle="stop" operator="between" showDropDown="false" showErrorMessage="false" showInputMessage="false" sqref="C2:C301" type="list">
      <formula1>Tarifs!$A$2:$A$9</formula1>
      <formula2>0</formula2>
    </dataValidation>
    <dataValidation allowBlank="true" errorStyle="stop" operator="between" showDropDown="false" showErrorMessage="false" showInputMessage="false" sqref="D2:D301" type="list">
      <formula1>"Spi &amp; Bi (Saint-Pierre),Rue Franklin,À domicile / entreprise"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30"/>
    <col collapsed="false" customWidth="true" hidden="false" outlineLevel="0" max="11" min="11" style="0" width="16"/>
  </cols>
  <sheetData>
    <row r="1" customFormat="false" ht="33.75" hidden="false" customHeight="true" outlineLevel="0" collapsed="false">
      <c r="A1" s="3" t="s">
        <v>54</v>
      </c>
      <c r="B1" s="3" t="s">
        <v>29</v>
      </c>
      <c r="C1" s="3" t="s">
        <v>30</v>
      </c>
      <c r="D1" s="3" t="s">
        <v>12</v>
      </c>
      <c r="E1" s="3" t="s">
        <v>55</v>
      </c>
      <c r="F1" s="3" t="s">
        <v>46</v>
      </c>
      <c r="G1" s="3" t="s">
        <v>33</v>
      </c>
      <c r="H1" s="3" t="s">
        <v>56</v>
      </c>
      <c r="I1" s="3" t="s">
        <v>57</v>
      </c>
      <c r="J1" s="3" t="s">
        <v>39</v>
      </c>
      <c r="K1" s="3" t="s">
        <v>58</v>
      </c>
    </row>
    <row r="2" customFormat="false" ht="15" hidden="false" customHeight="false" outlineLevel="0" collapsed="false">
      <c r="A2" s="10" t="n">
        <v>46310</v>
      </c>
      <c r="B2" s="11" t="s">
        <v>40</v>
      </c>
      <c r="C2" s="15" t="str">
        <f aca="false">IF(B2="","",IFERROR(INDEX(Achats!$C:$C,MATCH(B2,Achats!$B:$B,0)),"N° inconnu dans Achats"))</f>
        <v>Exemple : M. Martin</v>
      </c>
      <c r="D2" s="15" t="str">
        <f aca="false">IF(B2="","",IFERROR(INDEX(Achats!$F:$F,MATCH(B2,Achats!$B:$B,0)),""))</f>
        <v>Initiation Whisky</v>
      </c>
      <c r="E2" s="10" t="n">
        <v>46319</v>
      </c>
      <c r="F2" s="16" t="n">
        <v>0.75</v>
      </c>
      <c r="G2" s="12" t="n">
        <v>2</v>
      </c>
      <c r="H2" s="11" t="s">
        <v>59</v>
      </c>
      <c r="I2" s="15" t="str">
        <f aca="false">IF(OR(B2="",E2=""),"",IF(COUNTIFS(Seances!$A:$A,E2,Seances!$B:$B,F2,Seances!$C:$C,D2)=0,"Séance à créer dans Seances","OK"))</f>
        <v>OK</v>
      </c>
      <c r="J2" s="11" t="s">
        <v>44</v>
      </c>
      <c r="K2" s="11" t="s">
        <v>31</v>
      </c>
    </row>
    <row r="3" customFormat="false" ht="15" hidden="false" customHeight="false" outlineLevel="0" collapsed="false">
      <c r="A3" s="10"/>
      <c r="B3" s="11"/>
      <c r="C3" s="15" t="str">
        <f aca="false">IF(B3="","",IFERROR(INDEX(Achats!$C:$C,MATCH(B3,Achats!$B:$B,0)),"N° inconnu dans Achats"))</f>
        <v/>
      </c>
      <c r="D3" s="15" t="str">
        <f aca="false">IF(B3="","",IFERROR(INDEX(Achats!$F:$F,MATCH(B3,Achats!$B:$B,0)),""))</f>
        <v/>
      </c>
      <c r="E3" s="10"/>
      <c r="F3" s="16"/>
      <c r="G3" s="12"/>
      <c r="H3" s="11"/>
      <c r="I3" s="15" t="str">
        <f aca="false">IF(OR(B3="",E3=""),"",IF(COUNTIFS(Seances!$A:$A,E3,Seances!$B:$B,F3,Seances!$C:$C,D3)=0,"Séance à créer dans Seances","OK"))</f>
        <v/>
      </c>
      <c r="J3" s="11"/>
      <c r="K3" s="11"/>
    </row>
    <row r="4" customFormat="false" ht="15" hidden="false" customHeight="false" outlineLevel="0" collapsed="false">
      <c r="A4" s="10"/>
      <c r="B4" s="11"/>
      <c r="C4" s="15" t="str">
        <f aca="false">IF(B4="","",IFERROR(INDEX(Achats!$C:$C,MATCH(B4,Achats!$B:$B,0)),"N° inconnu dans Achats"))</f>
        <v/>
      </c>
      <c r="D4" s="15" t="str">
        <f aca="false">IF(B4="","",IFERROR(INDEX(Achats!$F:$F,MATCH(B4,Achats!$B:$B,0)),""))</f>
        <v/>
      </c>
      <c r="E4" s="10"/>
      <c r="F4" s="16"/>
      <c r="G4" s="12"/>
      <c r="H4" s="11"/>
      <c r="I4" s="15" t="str">
        <f aca="false">IF(OR(B4="",E4=""),"",IF(COUNTIFS(Seances!$A:$A,E4,Seances!$B:$B,F4,Seances!$C:$C,D4)=0,"Séance à créer dans Seances","OK"))</f>
        <v/>
      </c>
      <c r="J4" s="11"/>
      <c r="K4" s="11"/>
    </row>
    <row r="5" customFormat="false" ht="15" hidden="false" customHeight="false" outlineLevel="0" collapsed="false">
      <c r="A5" s="10"/>
      <c r="B5" s="11"/>
      <c r="C5" s="15" t="str">
        <f aca="false">IF(B5="","",IFERROR(INDEX(Achats!$C:$C,MATCH(B5,Achats!$B:$B,0)),"N° inconnu dans Achats"))</f>
        <v/>
      </c>
      <c r="D5" s="15" t="str">
        <f aca="false">IF(B5="","",IFERROR(INDEX(Achats!$F:$F,MATCH(B5,Achats!$B:$B,0)),""))</f>
        <v/>
      </c>
      <c r="E5" s="10"/>
      <c r="F5" s="16"/>
      <c r="G5" s="12"/>
      <c r="H5" s="11"/>
      <c r="I5" s="15" t="str">
        <f aca="false">IF(OR(B5="",E5=""),"",IF(COUNTIFS(Seances!$A:$A,E5,Seances!$B:$B,F5,Seances!$C:$C,D5)=0,"Séance à créer dans Seances","OK"))</f>
        <v/>
      </c>
      <c r="J5" s="11"/>
      <c r="K5" s="11"/>
    </row>
    <row r="6" customFormat="false" ht="15" hidden="false" customHeight="false" outlineLevel="0" collapsed="false">
      <c r="A6" s="10"/>
      <c r="B6" s="11"/>
      <c r="C6" s="15" t="str">
        <f aca="false">IF(B6="","",IFERROR(INDEX(Achats!$C:$C,MATCH(B6,Achats!$B:$B,0)),"N° inconnu dans Achats"))</f>
        <v/>
      </c>
      <c r="D6" s="15" t="str">
        <f aca="false">IF(B6="","",IFERROR(INDEX(Achats!$F:$F,MATCH(B6,Achats!$B:$B,0)),""))</f>
        <v/>
      </c>
      <c r="E6" s="10"/>
      <c r="F6" s="16"/>
      <c r="G6" s="12"/>
      <c r="H6" s="11"/>
      <c r="I6" s="15" t="str">
        <f aca="false">IF(OR(B6="",E6=""),"",IF(COUNTIFS(Seances!$A:$A,E6,Seances!$B:$B,F6,Seances!$C:$C,D6)=0,"Séance à créer dans Seances","OK"))</f>
        <v/>
      </c>
      <c r="J6" s="11"/>
      <c r="K6" s="11"/>
    </row>
    <row r="7" customFormat="false" ht="15" hidden="false" customHeight="false" outlineLevel="0" collapsed="false">
      <c r="A7" s="10"/>
      <c r="B7" s="11"/>
      <c r="C7" s="15" t="str">
        <f aca="false">IF(B7="","",IFERROR(INDEX(Achats!$C:$C,MATCH(B7,Achats!$B:$B,0)),"N° inconnu dans Achats"))</f>
        <v/>
      </c>
      <c r="D7" s="15" t="str">
        <f aca="false">IF(B7="","",IFERROR(INDEX(Achats!$F:$F,MATCH(B7,Achats!$B:$B,0)),""))</f>
        <v/>
      </c>
      <c r="E7" s="10"/>
      <c r="F7" s="16"/>
      <c r="G7" s="12"/>
      <c r="H7" s="11"/>
      <c r="I7" s="15" t="str">
        <f aca="false">IF(OR(B7="",E7=""),"",IF(COUNTIFS(Seances!$A:$A,E7,Seances!$B:$B,F7,Seances!$C:$C,D7)=0,"Séance à créer dans Seances","OK"))</f>
        <v/>
      </c>
      <c r="J7" s="11"/>
      <c r="K7" s="11"/>
    </row>
    <row r="8" customFormat="false" ht="15" hidden="false" customHeight="false" outlineLevel="0" collapsed="false">
      <c r="A8" s="10"/>
      <c r="B8" s="11"/>
      <c r="C8" s="15" t="str">
        <f aca="false">IF(B8="","",IFERROR(INDEX(Achats!$C:$C,MATCH(B8,Achats!$B:$B,0)),"N° inconnu dans Achats"))</f>
        <v/>
      </c>
      <c r="D8" s="15" t="str">
        <f aca="false">IF(B8="","",IFERROR(INDEX(Achats!$F:$F,MATCH(B8,Achats!$B:$B,0)),""))</f>
        <v/>
      </c>
      <c r="E8" s="10"/>
      <c r="F8" s="16"/>
      <c r="G8" s="12"/>
      <c r="H8" s="11"/>
      <c r="I8" s="15" t="str">
        <f aca="false">IF(OR(B8="",E8=""),"",IF(COUNTIFS(Seances!$A:$A,E8,Seances!$B:$B,F8,Seances!$C:$C,D8)=0,"Séance à créer dans Seances","OK"))</f>
        <v/>
      </c>
      <c r="J8" s="11"/>
      <c r="K8" s="11"/>
    </row>
    <row r="9" customFormat="false" ht="15" hidden="false" customHeight="false" outlineLevel="0" collapsed="false">
      <c r="A9" s="10"/>
      <c r="B9" s="11"/>
      <c r="C9" s="15" t="str">
        <f aca="false">IF(B9="","",IFERROR(INDEX(Achats!$C:$C,MATCH(B9,Achats!$B:$B,0)),"N° inconnu dans Achats"))</f>
        <v/>
      </c>
      <c r="D9" s="15" t="str">
        <f aca="false">IF(B9="","",IFERROR(INDEX(Achats!$F:$F,MATCH(B9,Achats!$B:$B,0)),""))</f>
        <v/>
      </c>
      <c r="E9" s="10"/>
      <c r="F9" s="16"/>
      <c r="G9" s="12"/>
      <c r="H9" s="11"/>
      <c r="I9" s="15" t="str">
        <f aca="false">IF(OR(B9="",E9=""),"",IF(COUNTIFS(Seances!$A:$A,E9,Seances!$B:$B,F9,Seances!$C:$C,D9)=0,"Séance à créer dans Seances","OK"))</f>
        <v/>
      </c>
      <c r="J9" s="11"/>
      <c r="K9" s="11"/>
    </row>
    <row r="10" customFormat="false" ht="15" hidden="false" customHeight="false" outlineLevel="0" collapsed="false">
      <c r="A10" s="10"/>
      <c r="B10" s="11"/>
      <c r="C10" s="15" t="str">
        <f aca="false">IF(B10="","",IFERROR(INDEX(Achats!$C:$C,MATCH(B10,Achats!$B:$B,0)),"N° inconnu dans Achats"))</f>
        <v/>
      </c>
      <c r="D10" s="15" t="str">
        <f aca="false">IF(B10="","",IFERROR(INDEX(Achats!$F:$F,MATCH(B10,Achats!$B:$B,0)),""))</f>
        <v/>
      </c>
      <c r="E10" s="10"/>
      <c r="F10" s="16"/>
      <c r="G10" s="12"/>
      <c r="H10" s="11"/>
      <c r="I10" s="15" t="str">
        <f aca="false">IF(OR(B10="",E10=""),"",IF(COUNTIFS(Seances!$A:$A,E10,Seances!$B:$B,F10,Seances!$C:$C,D10)=0,"Séance à créer dans Seances","OK"))</f>
        <v/>
      </c>
      <c r="J10" s="11"/>
      <c r="K10" s="11"/>
    </row>
    <row r="11" customFormat="false" ht="15" hidden="false" customHeight="false" outlineLevel="0" collapsed="false">
      <c r="A11" s="10"/>
      <c r="B11" s="11"/>
      <c r="C11" s="15" t="str">
        <f aca="false">IF(B11="","",IFERROR(INDEX(Achats!$C:$C,MATCH(B11,Achats!$B:$B,0)),"N° inconnu dans Achats"))</f>
        <v/>
      </c>
      <c r="D11" s="15" t="str">
        <f aca="false">IF(B11="","",IFERROR(INDEX(Achats!$F:$F,MATCH(B11,Achats!$B:$B,0)),""))</f>
        <v/>
      </c>
      <c r="E11" s="10"/>
      <c r="F11" s="16"/>
      <c r="G11" s="12"/>
      <c r="H11" s="11"/>
      <c r="I11" s="15" t="str">
        <f aca="false">IF(OR(B11="",E11=""),"",IF(COUNTIFS(Seances!$A:$A,E11,Seances!$B:$B,F11,Seances!$C:$C,D11)=0,"Séance à créer dans Seances","OK"))</f>
        <v/>
      </c>
      <c r="J11" s="11"/>
      <c r="K11" s="11"/>
    </row>
    <row r="12" customFormat="false" ht="15" hidden="false" customHeight="false" outlineLevel="0" collapsed="false">
      <c r="A12" s="10"/>
      <c r="B12" s="11"/>
      <c r="C12" s="15" t="str">
        <f aca="false">IF(B12="","",IFERROR(INDEX(Achats!$C:$C,MATCH(B12,Achats!$B:$B,0)),"N° inconnu dans Achats"))</f>
        <v/>
      </c>
      <c r="D12" s="15" t="str">
        <f aca="false">IF(B12="","",IFERROR(INDEX(Achats!$F:$F,MATCH(B12,Achats!$B:$B,0)),""))</f>
        <v/>
      </c>
      <c r="E12" s="10"/>
      <c r="F12" s="16"/>
      <c r="G12" s="12"/>
      <c r="H12" s="11"/>
      <c r="I12" s="15" t="str">
        <f aca="false">IF(OR(B12="",E12=""),"",IF(COUNTIFS(Seances!$A:$A,E12,Seances!$B:$B,F12,Seances!$C:$C,D12)=0,"Séance à créer dans Seances","OK"))</f>
        <v/>
      </c>
      <c r="J12" s="11"/>
      <c r="K12" s="11"/>
    </row>
    <row r="13" customFormat="false" ht="15" hidden="false" customHeight="false" outlineLevel="0" collapsed="false">
      <c r="A13" s="10"/>
      <c r="B13" s="11"/>
      <c r="C13" s="15" t="str">
        <f aca="false">IF(B13="","",IFERROR(INDEX(Achats!$C:$C,MATCH(B13,Achats!$B:$B,0)),"N° inconnu dans Achats"))</f>
        <v/>
      </c>
      <c r="D13" s="15" t="str">
        <f aca="false">IF(B13="","",IFERROR(INDEX(Achats!$F:$F,MATCH(B13,Achats!$B:$B,0)),""))</f>
        <v/>
      </c>
      <c r="E13" s="10"/>
      <c r="F13" s="16"/>
      <c r="G13" s="12"/>
      <c r="H13" s="11"/>
      <c r="I13" s="15" t="str">
        <f aca="false">IF(OR(B13="",E13=""),"",IF(COUNTIFS(Seances!$A:$A,E13,Seances!$B:$B,F13,Seances!$C:$C,D13)=0,"Séance à créer dans Seances","OK"))</f>
        <v/>
      </c>
      <c r="J13" s="11"/>
      <c r="K13" s="11"/>
    </row>
    <row r="14" customFormat="false" ht="15" hidden="false" customHeight="false" outlineLevel="0" collapsed="false">
      <c r="A14" s="10"/>
      <c r="B14" s="11"/>
      <c r="C14" s="15" t="str">
        <f aca="false">IF(B14="","",IFERROR(INDEX(Achats!$C:$C,MATCH(B14,Achats!$B:$B,0)),"N° inconnu dans Achats"))</f>
        <v/>
      </c>
      <c r="D14" s="15" t="str">
        <f aca="false">IF(B14="","",IFERROR(INDEX(Achats!$F:$F,MATCH(B14,Achats!$B:$B,0)),""))</f>
        <v/>
      </c>
      <c r="E14" s="10"/>
      <c r="F14" s="16"/>
      <c r="G14" s="12"/>
      <c r="H14" s="11"/>
      <c r="I14" s="15" t="str">
        <f aca="false">IF(OR(B14="",E14=""),"",IF(COUNTIFS(Seances!$A:$A,E14,Seances!$B:$B,F14,Seances!$C:$C,D14)=0,"Séance à créer dans Seances","OK"))</f>
        <v/>
      </c>
      <c r="J14" s="11"/>
      <c r="K14" s="11"/>
    </row>
    <row r="15" customFormat="false" ht="15" hidden="false" customHeight="false" outlineLevel="0" collapsed="false">
      <c r="A15" s="10"/>
      <c r="B15" s="11"/>
      <c r="C15" s="15" t="str">
        <f aca="false">IF(B15="","",IFERROR(INDEX(Achats!$C:$C,MATCH(B15,Achats!$B:$B,0)),"N° inconnu dans Achats"))</f>
        <v/>
      </c>
      <c r="D15" s="15" t="str">
        <f aca="false">IF(B15="","",IFERROR(INDEX(Achats!$F:$F,MATCH(B15,Achats!$B:$B,0)),""))</f>
        <v/>
      </c>
      <c r="E15" s="10"/>
      <c r="F15" s="16"/>
      <c r="G15" s="12"/>
      <c r="H15" s="11"/>
      <c r="I15" s="15" t="str">
        <f aca="false">IF(OR(B15="",E15=""),"",IF(COUNTIFS(Seances!$A:$A,E15,Seances!$B:$B,F15,Seances!$C:$C,D15)=0,"Séance à créer dans Seances","OK"))</f>
        <v/>
      </c>
      <c r="J15" s="11"/>
      <c r="K15" s="11"/>
    </row>
    <row r="16" customFormat="false" ht="15" hidden="false" customHeight="false" outlineLevel="0" collapsed="false">
      <c r="A16" s="10"/>
      <c r="B16" s="11"/>
      <c r="C16" s="15" t="str">
        <f aca="false">IF(B16="","",IFERROR(INDEX(Achats!$C:$C,MATCH(B16,Achats!$B:$B,0)),"N° inconnu dans Achats"))</f>
        <v/>
      </c>
      <c r="D16" s="15" t="str">
        <f aca="false">IF(B16="","",IFERROR(INDEX(Achats!$F:$F,MATCH(B16,Achats!$B:$B,0)),""))</f>
        <v/>
      </c>
      <c r="E16" s="10"/>
      <c r="F16" s="16"/>
      <c r="G16" s="12"/>
      <c r="H16" s="11"/>
      <c r="I16" s="15" t="str">
        <f aca="false">IF(OR(B16="",E16=""),"",IF(COUNTIFS(Seances!$A:$A,E16,Seances!$B:$B,F16,Seances!$C:$C,D16)=0,"Séance à créer dans Seances","OK"))</f>
        <v/>
      </c>
      <c r="J16" s="11"/>
      <c r="K16" s="11"/>
    </row>
    <row r="17" customFormat="false" ht="15" hidden="false" customHeight="false" outlineLevel="0" collapsed="false">
      <c r="A17" s="10"/>
      <c r="B17" s="11"/>
      <c r="C17" s="15" t="str">
        <f aca="false">IF(B17="","",IFERROR(INDEX(Achats!$C:$C,MATCH(B17,Achats!$B:$B,0)),"N° inconnu dans Achats"))</f>
        <v/>
      </c>
      <c r="D17" s="15" t="str">
        <f aca="false">IF(B17="","",IFERROR(INDEX(Achats!$F:$F,MATCH(B17,Achats!$B:$B,0)),""))</f>
        <v/>
      </c>
      <c r="E17" s="10"/>
      <c r="F17" s="16"/>
      <c r="G17" s="12"/>
      <c r="H17" s="11"/>
      <c r="I17" s="15" t="str">
        <f aca="false">IF(OR(B17="",E17=""),"",IF(COUNTIFS(Seances!$A:$A,E17,Seances!$B:$B,F17,Seances!$C:$C,D17)=0,"Séance à créer dans Seances","OK"))</f>
        <v/>
      </c>
      <c r="J17" s="11"/>
      <c r="K17" s="11"/>
    </row>
    <row r="18" customFormat="false" ht="15" hidden="false" customHeight="false" outlineLevel="0" collapsed="false">
      <c r="A18" s="10"/>
      <c r="B18" s="11"/>
      <c r="C18" s="15" t="str">
        <f aca="false">IF(B18="","",IFERROR(INDEX(Achats!$C:$C,MATCH(B18,Achats!$B:$B,0)),"N° inconnu dans Achats"))</f>
        <v/>
      </c>
      <c r="D18" s="15" t="str">
        <f aca="false">IF(B18="","",IFERROR(INDEX(Achats!$F:$F,MATCH(B18,Achats!$B:$B,0)),""))</f>
        <v/>
      </c>
      <c r="E18" s="10"/>
      <c r="F18" s="16"/>
      <c r="G18" s="12"/>
      <c r="H18" s="11"/>
      <c r="I18" s="15" t="str">
        <f aca="false">IF(OR(B18="",E18=""),"",IF(COUNTIFS(Seances!$A:$A,E18,Seances!$B:$B,F18,Seances!$C:$C,D18)=0,"Séance à créer dans Seances","OK"))</f>
        <v/>
      </c>
      <c r="J18" s="11"/>
      <c r="K18" s="11"/>
    </row>
    <row r="19" customFormat="false" ht="15" hidden="false" customHeight="false" outlineLevel="0" collapsed="false">
      <c r="A19" s="10"/>
      <c r="B19" s="11"/>
      <c r="C19" s="15" t="str">
        <f aca="false">IF(B19="","",IFERROR(INDEX(Achats!$C:$C,MATCH(B19,Achats!$B:$B,0)),"N° inconnu dans Achats"))</f>
        <v/>
      </c>
      <c r="D19" s="15" t="str">
        <f aca="false">IF(B19="","",IFERROR(INDEX(Achats!$F:$F,MATCH(B19,Achats!$B:$B,0)),""))</f>
        <v/>
      </c>
      <c r="E19" s="10"/>
      <c r="F19" s="16"/>
      <c r="G19" s="12"/>
      <c r="H19" s="11"/>
      <c r="I19" s="15" t="str">
        <f aca="false">IF(OR(B19="",E19=""),"",IF(COUNTIFS(Seances!$A:$A,E19,Seances!$B:$B,F19,Seances!$C:$C,D19)=0,"Séance à créer dans Seances","OK"))</f>
        <v/>
      </c>
      <c r="J19" s="11"/>
      <c r="K19" s="11"/>
    </row>
    <row r="20" customFormat="false" ht="15" hidden="false" customHeight="false" outlineLevel="0" collapsed="false">
      <c r="A20" s="10"/>
      <c r="B20" s="11"/>
      <c r="C20" s="15" t="str">
        <f aca="false">IF(B20="","",IFERROR(INDEX(Achats!$C:$C,MATCH(B20,Achats!$B:$B,0)),"N° inconnu dans Achats"))</f>
        <v/>
      </c>
      <c r="D20" s="15" t="str">
        <f aca="false">IF(B20="","",IFERROR(INDEX(Achats!$F:$F,MATCH(B20,Achats!$B:$B,0)),""))</f>
        <v/>
      </c>
      <c r="E20" s="10"/>
      <c r="F20" s="16"/>
      <c r="G20" s="12"/>
      <c r="H20" s="11"/>
      <c r="I20" s="15" t="str">
        <f aca="false">IF(OR(B20="",E20=""),"",IF(COUNTIFS(Seances!$A:$A,E20,Seances!$B:$B,F20,Seances!$C:$C,D20)=0,"Séance à créer dans Seances","OK"))</f>
        <v/>
      </c>
      <c r="J20" s="11"/>
      <c r="K20" s="11"/>
    </row>
    <row r="21" customFormat="false" ht="15" hidden="false" customHeight="false" outlineLevel="0" collapsed="false">
      <c r="A21" s="10"/>
      <c r="B21" s="11"/>
      <c r="C21" s="15" t="str">
        <f aca="false">IF(B21="","",IFERROR(INDEX(Achats!$C:$C,MATCH(B21,Achats!$B:$B,0)),"N° inconnu dans Achats"))</f>
        <v/>
      </c>
      <c r="D21" s="15" t="str">
        <f aca="false">IF(B21="","",IFERROR(INDEX(Achats!$F:$F,MATCH(B21,Achats!$B:$B,0)),""))</f>
        <v/>
      </c>
      <c r="E21" s="10"/>
      <c r="F21" s="16"/>
      <c r="G21" s="12"/>
      <c r="H21" s="11"/>
      <c r="I21" s="15" t="str">
        <f aca="false">IF(OR(B21="",E21=""),"",IF(COUNTIFS(Seances!$A:$A,E21,Seances!$B:$B,F21,Seances!$C:$C,D21)=0,"Séance à créer dans Seances","OK"))</f>
        <v/>
      </c>
      <c r="J21" s="11"/>
      <c r="K21" s="11"/>
    </row>
    <row r="22" customFormat="false" ht="15" hidden="false" customHeight="false" outlineLevel="0" collapsed="false">
      <c r="A22" s="10"/>
      <c r="B22" s="11"/>
      <c r="C22" s="15" t="str">
        <f aca="false">IF(B22="","",IFERROR(INDEX(Achats!$C:$C,MATCH(B22,Achats!$B:$B,0)),"N° inconnu dans Achats"))</f>
        <v/>
      </c>
      <c r="D22" s="15" t="str">
        <f aca="false">IF(B22="","",IFERROR(INDEX(Achats!$F:$F,MATCH(B22,Achats!$B:$B,0)),""))</f>
        <v/>
      </c>
      <c r="E22" s="10"/>
      <c r="F22" s="16"/>
      <c r="G22" s="12"/>
      <c r="H22" s="11"/>
      <c r="I22" s="15" t="str">
        <f aca="false">IF(OR(B22="",E22=""),"",IF(COUNTIFS(Seances!$A:$A,E22,Seances!$B:$B,F22,Seances!$C:$C,D22)=0,"Séance à créer dans Seances","OK"))</f>
        <v/>
      </c>
      <c r="J22" s="11"/>
      <c r="K22" s="11"/>
    </row>
    <row r="23" customFormat="false" ht="15" hidden="false" customHeight="false" outlineLevel="0" collapsed="false">
      <c r="A23" s="10"/>
      <c r="B23" s="11"/>
      <c r="C23" s="15" t="str">
        <f aca="false">IF(B23="","",IFERROR(INDEX(Achats!$C:$C,MATCH(B23,Achats!$B:$B,0)),"N° inconnu dans Achats"))</f>
        <v/>
      </c>
      <c r="D23" s="15" t="str">
        <f aca="false">IF(B23="","",IFERROR(INDEX(Achats!$F:$F,MATCH(B23,Achats!$B:$B,0)),""))</f>
        <v/>
      </c>
      <c r="E23" s="10"/>
      <c r="F23" s="16"/>
      <c r="G23" s="12"/>
      <c r="H23" s="11"/>
      <c r="I23" s="15" t="str">
        <f aca="false">IF(OR(B23="",E23=""),"",IF(COUNTIFS(Seances!$A:$A,E23,Seances!$B:$B,F23,Seances!$C:$C,D23)=0,"Séance à créer dans Seances","OK"))</f>
        <v/>
      </c>
      <c r="J23" s="11"/>
      <c r="K23" s="11"/>
    </row>
    <row r="24" customFormat="false" ht="15" hidden="false" customHeight="false" outlineLevel="0" collapsed="false">
      <c r="A24" s="10"/>
      <c r="B24" s="11"/>
      <c r="C24" s="15" t="str">
        <f aca="false">IF(B24="","",IFERROR(INDEX(Achats!$C:$C,MATCH(B24,Achats!$B:$B,0)),"N° inconnu dans Achats"))</f>
        <v/>
      </c>
      <c r="D24" s="15" t="str">
        <f aca="false">IF(B24="","",IFERROR(INDEX(Achats!$F:$F,MATCH(B24,Achats!$B:$B,0)),""))</f>
        <v/>
      </c>
      <c r="E24" s="10"/>
      <c r="F24" s="16"/>
      <c r="G24" s="12"/>
      <c r="H24" s="11"/>
      <c r="I24" s="15" t="str">
        <f aca="false">IF(OR(B24="",E24=""),"",IF(COUNTIFS(Seances!$A:$A,E24,Seances!$B:$B,F24,Seances!$C:$C,D24)=0,"Séance à créer dans Seances","OK"))</f>
        <v/>
      </c>
      <c r="J24" s="11"/>
      <c r="K24" s="11"/>
    </row>
    <row r="25" customFormat="false" ht="15" hidden="false" customHeight="false" outlineLevel="0" collapsed="false">
      <c r="A25" s="10"/>
      <c r="B25" s="11"/>
      <c r="C25" s="15" t="str">
        <f aca="false">IF(B25="","",IFERROR(INDEX(Achats!$C:$C,MATCH(B25,Achats!$B:$B,0)),"N° inconnu dans Achats"))</f>
        <v/>
      </c>
      <c r="D25" s="15" t="str">
        <f aca="false">IF(B25="","",IFERROR(INDEX(Achats!$F:$F,MATCH(B25,Achats!$B:$B,0)),""))</f>
        <v/>
      </c>
      <c r="E25" s="10"/>
      <c r="F25" s="16"/>
      <c r="G25" s="12"/>
      <c r="H25" s="11"/>
      <c r="I25" s="15" t="str">
        <f aca="false">IF(OR(B25="",E25=""),"",IF(COUNTIFS(Seances!$A:$A,E25,Seances!$B:$B,F25,Seances!$C:$C,D25)=0,"Séance à créer dans Seances","OK"))</f>
        <v/>
      </c>
      <c r="J25" s="11"/>
      <c r="K25" s="11"/>
    </row>
    <row r="26" customFormat="false" ht="15" hidden="false" customHeight="false" outlineLevel="0" collapsed="false">
      <c r="A26" s="10"/>
      <c r="B26" s="11"/>
      <c r="C26" s="15" t="str">
        <f aca="false">IF(B26="","",IFERROR(INDEX(Achats!$C:$C,MATCH(B26,Achats!$B:$B,0)),"N° inconnu dans Achats"))</f>
        <v/>
      </c>
      <c r="D26" s="15" t="str">
        <f aca="false">IF(B26="","",IFERROR(INDEX(Achats!$F:$F,MATCH(B26,Achats!$B:$B,0)),""))</f>
        <v/>
      </c>
      <c r="E26" s="10"/>
      <c r="F26" s="16"/>
      <c r="G26" s="12"/>
      <c r="H26" s="11"/>
      <c r="I26" s="15" t="str">
        <f aca="false">IF(OR(B26="",E26=""),"",IF(COUNTIFS(Seances!$A:$A,E26,Seances!$B:$B,F26,Seances!$C:$C,D26)=0,"Séance à créer dans Seances","OK"))</f>
        <v/>
      </c>
      <c r="J26" s="11"/>
      <c r="K26" s="11"/>
    </row>
    <row r="27" customFormat="false" ht="15" hidden="false" customHeight="false" outlineLevel="0" collapsed="false">
      <c r="A27" s="10"/>
      <c r="B27" s="11"/>
      <c r="C27" s="15" t="str">
        <f aca="false">IF(B27="","",IFERROR(INDEX(Achats!$C:$C,MATCH(B27,Achats!$B:$B,0)),"N° inconnu dans Achats"))</f>
        <v/>
      </c>
      <c r="D27" s="15" t="str">
        <f aca="false">IF(B27="","",IFERROR(INDEX(Achats!$F:$F,MATCH(B27,Achats!$B:$B,0)),""))</f>
        <v/>
      </c>
      <c r="E27" s="10"/>
      <c r="F27" s="16"/>
      <c r="G27" s="12"/>
      <c r="H27" s="11"/>
      <c r="I27" s="15" t="str">
        <f aca="false">IF(OR(B27="",E27=""),"",IF(COUNTIFS(Seances!$A:$A,E27,Seances!$B:$B,F27,Seances!$C:$C,D27)=0,"Séance à créer dans Seances","OK"))</f>
        <v/>
      </c>
      <c r="J27" s="11"/>
      <c r="K27" s="11"/>
    </row>
    <row r="28" customFormat="false" ht="15" hidden="false" customHeight="false" outlineLevel="0" collapsed="false">
      <c r="A28" s="10"/>
      <c r="B28" s="11"/>
      <c r="C28" s="15" t="str">
        <f aca="false">IF(B28="","",IFERROR(INDEX(Achats!$C:$C,MATCH(B28,Achats!$B:$B,0)),"N° inconnu dans Achats"))</f>
        <v/>
      </c>
      <c r="D28" s="15" t="str">
        <f aca="false">IF(B28="","",IFERROR(INDEX(Achats!$F:$F,MATCH(B28,Achats!$B:$B,0)),""))</f>
        <v/>
      </c>
      <c r="E28" s="10"/>
      <c r="F28" s="16"/>
      <c r="G28" s="12"/>
      <c r="H28" s="11"/>
      <c r="I28" s="15" t="str">
        <f aca="false">IF(OR(B28="",E28=""),"",IF(COUNTIFS(Seances!$A:$A,E28,Seances!$B:$B,F28,Seances!$C:$C,D28)=0,"Séance à créer dans Seances","OK"))</f>
        <v/>
      </c>
      <c r="J28" s="11"/>
      <c r="K28" s="11"/>
    </row>
    <row r="29" customFormat="false" ht="15" hidden="false" customHeight="false" outlineLevel="0" collapsed="false">
      <c r="A29" s="10"/>
      <c r="B29" s="11"/>
      <c r="C29" s="15" t="str">
        <f aca="false">IF(B29="","",IFERROR(INDEX(Achats!$C:$C,MATCH(B29,Achats!$B:$B,0)),"N° inconnu dans Achats"))</f>
        <v/>
      </c>
      <c r="D29" s="15" t="str">
        <f aca="false">IF(B29="","",IFERROR(INDEX(Achats!$F:$F,MATCH(B29,Achats!$B:$B,0)),""))</f>
        <v/>
      </c>
      <c r="E29" s="10"/>
      <c r="F29" s="16"/>
      <c r="G29" s="12"/>
      <c r="H29" s="11"/>
      <c r="I29" s="15" t="str">
        <f aca="false">IF(OR(B29="",E29=""),"",IF(COUNTIFS(Seances!$A:$A,E29,Seances!$B:$B,F29,Seances!$C:$C,D29)=0,"Séance à créer dans Seances","OK"))</f>
        <v/>
      </c>
      <c r="J29" s="11"/>
      <c r="K29" s="11"/>
    </row>
    <row r="30" customFormat="false" ht="15" hidden="false" customHeight="false" outlineLevel="0" collapsed="false">
      <c r="A30" s="10"/>
      <c r="B30" s="11"/>
      <c r="C30" s="15" t="str">
        <f aca="false">IF(B30="","",IFERROR(INDEX(Achats!$C:$C,MATCH(B30,Achats!$B:$B,0)),"N° inconnu dans Achats"))</f>
        <v/>
      </c>
      <c r="D30" s="15" t="str">
        <f aca="false">IF(B30="","",IFERROR(INDEX(Achats!$F:$F,MATCH(B30,Achats!$B:$B,0)),""))</f>
        <v/>
      </c>
      <c r="E30" s="10"/>
      <c r="F30" s="16"/>
      <c r="G30" s="12"/>
      <c r="H30" s="11"/>
      <c r="I30" s="15" t="str">
        <f aca="false">IF(OR(B30="",E30=""),"",IF(COUNTIFS(Seances!$A:$A,E30,Seances!$B:$B,F30,Seances!$C:$C,D30)=0,"Séance à créer dans Seances","OK"))</f>
        <v/>
      </c>
      <c r="J30" s="11"/>
      <c r="K30" s="11"/>
    </row>
    <row r="31" customFormat="false" ht="15" hidden="false" customHeight="false" outlineLevel="0" collapsed="false">
      <c r="A31" s="10"/>
      <c r="B31" s="11"/>
      <c r="C31" s="15" t="str">
        <f aca="false">IF(B31="","",IFERROR(INDEX(Achats!$C:$C,MATCH(B31,Achats!$B:$B,0)),"N° inconnu dans Achats"))</f>
        <v/>
      </c>
      <c r="D31" s="15" t="str">
        <f aca="false">IF(B31="","",IFERROR(INDEX(Achats!$F:$F,MATCH(B31,Achats!$B:$B,0)),""))</f>
        <v/>
      </c>
      <c r="E31" s="10"/>
      <c r="F31" s="16"/>
      <c r="G31" s="12"/>
      <c r="H31" s="11"/>
      <c r="I31" s="15" t="str">
        <f aca="false">IF(OR(B31="",E31=""),"",IF(COUNTIFS(Seances!$A:$A,E31,Seances!$B:$B,F31,Seances!$C:$C,D31)=0,"Séance à créer dans Seances","OK"))</f>
        <v/>
      </c>
      <c r="J31" s="11"/>
      <c r="K31" s="11"/>
    </row>
    <row r="32" customFormat="false" ht="15" hidden="false" customHeight="false" outlineLevel="0" collapsed="false">
      <c r="A32" s="10"/>
      <c r="B32" s="11"/>
      <c r="C32" s="15" t="str">
        <f aca="false">IF(B32="","",IFERROR(INDEX(Achats!$C:$C,MATCH(B32,Achats!$B:$B,0)),"N° inconnu dans Achats"))</f>
        <v/>
      </c>
      <c r="D32" s="15" t="str">
        <f aca="false">IF(B32="","",IFERROR(INDEX(Achats!$F:$F,MATCH(B32,Achats!$B:$B,0)),""))</f>
        <v/>
      </c>
      <c r="E32" s="10"/>
      <c r="F32" s="16"/>
      <c r="G32" s="12"/>
      <c r="H32" s="11"/>
      <c r="I32" s="15" t="str">
        <f aca="false">IF(OR(B32="",E32=""),"",IF(COUNTIFS(Seances!$A:$A,E32,Seances!$B:$B,F32,Seances!$C:$C,D32)=0,"Séance à créer dans Seances","OK"))</f>
        <v/>
      </c>
      <c r="J32" s="11"/>
      <c r="K32" s="11"/>
    </row>
    <row r="33" customFormat="false" ht="15" hidden="false" customHeight="false" outlineLevel="0" collapsed="false">
      <c r="A33" s="10"/>
      <c r="B33" s="11"/>
      <c r="C33" s="15" t="str">
        <f aca="false">IF(B33="","",IFERROR(INDEX(Achats!$C:$C,MATCH(B33,Achats!$B:$B,0)),"N° inconnu dans Achats"))</f>
        <v/>
      </c>
      <c r="D33" s="15" t="str">
        <f aca="false">IF(B33="","",IFERROR(INDEX(Achats!$F:$F,MATCH(B33,Achats!$B:$B,0)),""))</f>
        <v/>
      </c>
      <c r="E33" s="10"/>
      <c r="F33" s="16"/>
      <c r="G33" s="12"/>
      <c r="H33" s="11"/>
      <c r="I33" s="15" t="str">
        <f aca="false">IF(OR(B33="",E33=""),"",IF(COUNTIFS(Seances!$A:$A,E33,Seances!$B:$B,F33,Seances!$C:$C,D33)=0,"Séance à créer dans Seances","OK"))</f>
        <v/>
      </c>
      <c r="J33" s="11"/>
      <c r="K33" s="11"/>
    </row>
    <row r="34" customFormat="false" ht="15" hidden="false" customHeight="false" outlineLevel="0" collapsed="false">
      <c r="A34" s="10"/>
      <c r="B34" s="11"/>
      <c r="C34" s="15" t="str">
        <f aca="false">IF(B34="","",IFERROR(INDEX(Achats!$C:$C,MATCH(B34,Achats!$B:$B,0)),"N° inconnu dans Achats"))</f>
        <v/>
      </c>
      <c r="D34" s="15" t="str">
        <f aca="false">IF(B34="","",IFERROR(INDEX(Achats!$F:$F,MATCH(B34,Achats!$B:$B,0)),""))</f>
        <v/>
      </c>
      <c r="E34" s="10"/>
      <c r="F34" s="16"/>
      <c r="G34" s="12"/>
      <c r="H34" s="11"/>
      <c r="I34" s="15" t="str">
        <f aca="false">IF(OR(B34="",E34=""),"",IF(COUNTIFS(Seances!$A:$A,E34,Seances!$B:$B,F34,Seances!$C:$C,D34)=0,"Séance à créer dans Seances","OK"))</f>
        <v/>
      </c>
      <c r="J34" s="11"/>
      <c r="K34" s="11"/>
    </row>
    <row r="35" customFormat="false" ht="15" hidden="false" customHeight="false" outlineLevel="0" collapsed="false">
      <c r="A35" s="10"/>
      <c r="B35" s="11"/>
      <c r="C35" s="15" t="str">
        <f aca="false">IF(B35="","",IFERROR(INDEX(Achats!$C:$C,MATCH(B35,Achats!$B:$B,0)),"N° inconnu dans Achats"))</f>
        <v/>
      </c>
      <c r="D35" s="15" t="str">
        <f aca="false">IF(B35="","",IFERROR(INDEX(Achats!$F:$F,MATCH(B35,Achats!$B:$B,0)),""))</f>
        <v/>
      </c>
      <c r="E35" s="10"/>
      <c r="F35" s="16"/>
      <c r="G35" s="12"/>
      <c r="H35" s="11"/>
      <c r="I35" s="15" t="str">
        <f aca="false">IF(OR(B35="",E35=""),"",IF(COUNTIFS(Seances!$A:$A,E35,Seances!$B:$B,F35,Seances!$C:$C,D35)=0,"Séance à créer dans Seances","OK"))</f>
        <v/>
      </c>
      <c r="J35" s="11"/>
      <c r="K35" s="11"/>
    </row>
    <row r="36" customFormat="false" ht="15" hidden="false" customHeight="false" outlineLevel="0" collapsed="false">
      <c r="A36" s="10"/>
      <c r="B36" s="11"/>
      <c r="C36" s="15" t="str">
        <f aca="false">IF(B36="","",IFERROR(INDEX(Achats!$C:$C,MATCH(B36,Achats!$B:$B,0)),"N° inconnu dans Achats"))</f>
        <v/>
      </c>
      <c r="D36" s="15" t="str">
        <f aca="false">IF(B36="","",IFERROR(INDEX(Achats!$F:$F,MATCH(B36,Achats!$B:$B,0)),""))</f>
        <v/>
      </c>
      <c r="E36" s="10"/>
      <c r="F36" s="16"/>
      <c r="G36" s="12"/>
      <c r="H36" s="11"/>
      <c r="I36" s="15" t="str">
        <f aca="false">IF(OR(B36="",E36=""),"",IF(COUNTIFS(Seances!$A:$A,E36,Seances!$B:$B,F36,Seances!$C:$C,D36)=0,"Séance à créer dans Seances","OK"))</f>
        <v/>
      </c>
      <c r="J36" s="11"/>
      <c r="K36" s="11"/>
    </row>
    <row r="37" customFormat="false" ht="15" hidden="false" customHeight="false" outlineLevel="0" collapsed="false">
      <c r="A37" s="10"/>
      <c r="B37" s="11"/>
      <c r="C37" s="15" t="str">
        <f aca="false">IF(B37="","",IFERROR(INDEX(Achats!$C:$C,MATCH(B37,Achats!$B:$B,0)),"N° inconnu dans Achats"))</f>
        <v/>
      </c>
      <c r="D37" s="15" t="str">
        <f aca="false">IF(B37="","",IFERROR(INDEX(Achats!$F:$F,MATCH(B37,Achats!$B:$B,0)),""))</f>
        <v/>
      </c>
      <c r="E37" s="10"/>
      <c r="F37" s="16"/>
      <c r="G37" s="12"/>
      <c r="H37" s="11"/>
      <c r="I37" s="15" t="str">
        <f aca="false">IF(OR(B37="",E37=""),"",IF(COUNTIFS(Seances!$A:$A,E37,Seances!$B:$B,F37,Seances!$C:$C,D37)=0,"Séance à créer dans Seances","OK"))</f>
        <v/>
      </c>
      <c r="J37" s="11"/>
      <c r="K37" s="11"/>
    </row>
    <row r="38" customFormat="false" ht="15" hidden="false" customHeight="false" outlineLevel="0" collapsed="false">
      <c r="A38" s="10"/>
      <c r="B38" s="11"/>
      <c r="C38" s="15" t="str">
        <f aca="false">IF(B38="","",IFERROR(INDEX(Achats!$C:$C,MATCH(B38,Achats!$B:$B,0)),"N° inconnu dans Achats"))</f>
        <v/>
      </c>
      <c r="D38" s="15" t="str">
        <f aca="false">IF(B38="","",IFERROR(INDEX(Achats!$F:$F,MATCH(B38,Achats!$B:$B,0)),""))</f>
        <v/>
      </c>
      <c r="E38" s="10"/>
      <c r="F38" s="16"/>
      <c r="G38" s="12"/>
      <c r="H38" s="11"/>
      <c r="I38" s="15" t="str">
        <f aca="false">IF(OR(B38="",E38=""),"",IF(COUNTIFS(Seances!$A:$A,E38,Seances!$B:$B,F38,Seances!$C:$C,D38)=0,"Séance à créer dans Seances","OK"))</f>
        <v/>
      </c>
      <c r="J38" s="11"/>
      <c r="K38" s="11"/>
    </row>
    <row r="39" customFormat="false" ht="15" hidden="false" customHeight="false" outlineLevel="0" collapsed="false">
      <c r="A39" s="10"/>
      <c r="B39" s="11"/>
      <c r="C39" s="15" t="str">
        <f aca="false">IF(B39="","",IFERROR(INDEX(Achats!$C:$C,MATCH(B39,Achats!$B:$B,0)),"N° inconnu dans Achats"))</f>
        <v/>
      </c>
      <c r="D39" s="15" t="str">
        <f aca="false">IF(B39="","",IFERROR(INDEX(Achats!$F:$F,MATCH(B39,Achats!$B:$B,0)),""))</f>
        <v/>
      </c>
      <c r="E39" s="10"/>
      <c r="F39" s="16"/>
      <c r="G39" s="12"/>
      <c r="H39" s="11"/>
      <c r="I39" s="15" t="str">
        <f aca="false">IF(OR(B39="",E39=""),"",IF(COUNTIFS(Seances!$A:$A,E39,Seances!$B:$B,F39,Seances!$C:$C,D39)=0,"Séance à créer dans Seances","OK"))</f>
        <v/>
      </c>
      <c r="J39" s="11"/>
      <c r="K39" s="11"/>
    </row>
    <row r="40" customFormat="false" ht="15" hidden="false" customHeight="false" outlineLevel="0" collapsed="false">
      <c r="A40" s="10"/>
      <c r="B40" s="11"/>
      <c r="C40" s="15" t="str">
        <f aca="false">IF(B40="","",IFERROR(INDEX(Achats!$C:$C,MATCH(B40,Achats!$B:$B,0)),"N° inconnu dans Achats"))</f>
        <v/>
      </c>
      <c r="D40" s="15" t="str">
        <f aca="false">IF(B40="","",IFERROR(INDEX(Achats!$F:$F,MATCH(B40,Achats!$B:$B,0)),""))</f>
        <v/>
      </c>
      <c r="E40" s="10"/>
      <c r="F40" s="16"/>
      <c r="G40" s="12"/>
      <c r="H40" s="11"/>
      <c r="I40" s="15" t="str">
        <f aca="false">IF(OR(B40="",E40=""),"",IF(COUNTIFS(Seances!$A:$A,E40,Seances!$B:$B,F40,Seances!$C:$C,D40)=0,"Séance à créer dans Seances","OK"))</f>
        <v/>
      </c>
      <c r="J40" s="11"/>
      <c r="K40" s="11"/>
    </row>
    <row r="41" customFormat="false" ht="15" hidden="false" customHeight="false" outlineLevel="0" collapsed="false">
      <c r="A41" s="10"/>
      <c r="B41" s="11"/>
      <c r="C41" s="15" t="str">
        <f aca="false">IF(B41="","",IFERROR(INDEX(Achats!$C:$C,MATCH(B41,Achats!$B:$B,0)),"N° inconnu dans Achats"))</f>
        <v/>
      </c>
      <c r="D41" s="15" t="str">
        <f aca="false">IF(B41="","",IFERROR(INDEX(Achats!$F:$F,MATCH(B41,Achats!$B:$B,0)),""))</f>
        <v/>
      </c>
      <c r="E41" s="10"/>
      <c r="F41" s="16"/>
      <c r="G41" s="12"/>
      <c r="H41" s="11"/>
      <c r="I41" s="15" t="str">
        <f aca="false">IF(OR(B41="",E41=""),"",IF(COUNTIFS(Seances!$A:$A,E41,Seances!$B:$B,F41,Seances!$C:$C,D41)=0,"Séance à créer dans Seances","OK"))</f>
        <v/>
      </c>
      <c r="J41" s="11"/>
      <c r="K41" s="11"/>
    </row>
    <row r="42" customFormat="false" ht="15" hidden="false" customHeight="false" outlineLevel="0" collapsed="false">
      <c r="A42" s="10"/>
      <c r="B42" s="11"/>
      <c r="C42" s="15" t="str">
        <f aca="false">IF(B42="","",IFERROR(INDEX(Achats!$C:$C,MATCH(B42,Achats!$B:$B,0)),"N° inconnu dans Achats"))</f>
        <v/>
      </c>
      <c r="D42" s="15" t="str">
        <f aca="false">IF(B42="","",IFERROR(INDEX(Achats!$F:$F,MATCH(B42,Achats!$B:$B,0)),""))</f>
        <v/>
      </c>
      <c r="E42" s="10"/>
      <c r="F42" s="16"/>
      <c r="G42" s="12"/>
      <c r="H42" s="11"/>
      <c r="I42" s="15" t="str">
        <f aca="false">IF(OR(B42="",E42=""),"",IF(COUNTIFS(Seances!$A:$A,E42,Seances!$B:$B,F42,Seances!$C:$C,D42)=0,"Séance à créer dans Seances","OK"))</f>
        <v/>
      </c>
      <c r="J42" s="11"/>
      <c r="K42" s="11"/>
    </row>
    <row r="43" customFormat="false" ht="15" hidden="false" customHeight="false" outlineLevel="0" collapsed="false">
      <c r="A43" s="10"/>
      <c r="B43" s="11"/>
      <c r="C43" s="15" t="str">
        <f aca="false">IF(B43="","",IFERROR(INDEX(Achats!$C:$C,MATCH(B43,Achats!$B:$B,0)),"N° inconnu dans Achats"))</f>
        <v/>
      </c>
      <c r="D43" s="15" t="str">
        <f aca="false">IF(B43="","",IFERROR(INDEX(Achats!$F:$F,MATCH(B43,Achats!$B:$B,0)),""))</f>
        <v/>
      </c>
      <c r="E43" s="10"/>
      <c r="F43" s="16"/>
      <c r="G43" s="12"/>
      <c r="H43" s="11"/>
      <c r="I43" s="15" t="str">
        <f aca="false">IF(OR(B43="",E43=""),"",IF(COUNTIFS(Seances!$A:$A,E43,Seances!$B:$B,F43,Seances!$C:$C,D43)=0,"Séance à créer dans Seances","OK"))</f>
        <v/>
      </c>
      <c r="J43" s="11"/>
      <c r="K43" s="11"/>
    </row>
    <row r="44" customFormat="false" ht="15" hidden="false" customHeight="false" outlineLevel="0" collapsed="false">
      <c r="A44" s="10"/>
      <c r="B44" s="11"/>
      <c r="C44" s="15" t="str">
        <f aca="false">IF(B44="","",IFERROR(INDEX(Achats!$C:$C,MATCH(B44,Achats!$B:$B,0)),"N° inconnu dans Achats"))</f>
        <v/>
      </c>
      <c r="D44" s="15" t="str">
        <f aca="false">IF(B44="","",IFERROR(INDEX(Achats!$F:$F,MATCH(B44,Achats!$B:$B,0)),""))</f>
        <v/>
      </c>
      <c r="E44" s="10"/>
      <c r="F44" s="16"/>
      <c r="G44" s="12"/>
      <c r="H44" s="11"/>
      <c r="I44" s="15" t="str">
        <f aca="false">IF(OR(B44="",E44=""),"",IF(COUNTIFS(Seances!$A:$A,E44,Seances!$B:$B,F44,Seances!$C:$C,D44)=0,"Séance à créer dans Seances","OK"))</f>
        <v/>
      </c>
      <c r="J44" s="11"/>
      <c r="K44" s="11"/>
    </row>
    <row r="45" customFormat="false" ht="15" hidden="false" customHeight="false" outlineLevel="0" collapsed="false">
      <c r="A45" s="10"/>
      <c r="B45" s="11"/>
      <c r="C45" s="15" t="str">
        <f aca="false">IF(B45="","",IFERROR(INDEX(Achats!$C:$C,MATCH(B45,Achats!$B:$B,0)),"N° inconnu dans Achats"))</f>
        <v/>
      </c>
      <c r="D45" s="15" t="str">
        <f aca="false">IF(B45="","",IFERROR(INDEX(Achats!$F:$F,MATCH(B45,Achats!$B:$B,0)),""))</f>
        <v/>
      </c>
      <c r="E45" s="10"/>
      <c r="F45" s="16"/>
      <c r="G45" s="12"/>
      <c r="H45" s="11"/>
      <c r="I45" s="15" t="str">
        <f aca="false">IF(OR(B45="",E45=""),"",IF(COUNTIFS(Seances!$A:$A,E45,Seances!$B:$B,F45,Seances!$C:$C,D45)=0,"Séance à créer dans Seances","OK"))</f>
        <v/>
      </c>
      <c r="J45" s="11"/>
      <c r="K45" s="11"/>
    </row>
    <row r="46" customFormat="false" ht="15" hidden="false" customHeight="false" outlineLevel="0" collapsed="false">
      <c r="A46" s="10"/>
      <c r="B46" s="11"/>
      <c r="C46" s="15" t="str">
        <f aca="false">IF(B46="","",IFERROR(INDEX(Achats!$C:$C,MATCH(B46,Achats!$B:$B,0)),"N° inconnu dans Achats"))</f>
        <v/>
      </c>
      <c r="D46" s="15" t="str">
        <f aca="false">IF(B46="","",IFERROR(INDEX(Achats!$F:$F,MATCH(B46,Achats!$B:$B,0)),""))</f>
        <v/>
      </c>
      <c r="E46" s="10"/>
      <c r="F46" s="16"/>
      <c r="G46" s="12"/>
      <c r="H46" s="11"/>
      <c r="I46" s="15" t="str">
        <f aca="false">IF(OR(B46="",E46=""),"",IF(COUNTIFS(Seances!$A:$A,E46,Seances!$B:$B,F46,Seances!$C:$C,D46)=0,"Séance à créer dans Seances","OK"))</f>
        <v/>
      </c>
      <c r="J46" s="11"/>
      <c r="K46" s="11"/>
    </row>
    <row r="47" customFormat="false" ht="15" hidden="false" customHeight="false" outlineLevel="0" collapsed="false">
      <c r="A47" s="10"/>
      <c r="B47" s="11"/>
      <c r="C47" s="15" t="str">
        <f aca="false">IF(B47="","",IFERROR(INDEX(Achats!$C:$C,MATCH(B47,Achats!$B:$B,0)),"N° inconnu dans Achats"))</f>
        <v/>
      </c>
      <c r="D47" s="15" t="str">
        <f aca="false">IF(B47="","",IFERROR(INDEX(Achats!$F:$F,MATCH(B47,Achats!$B:$B,0)),""))</f>
        <v/>
      </c>
      <c r="E47" s="10"/>
      <c r="F47" s="16"/>
      <c r="G47" s="12"/>
      <c r="H47" s="11"/>
      <c r="I47" s="15" t="str">
        <f aca="false">IF(OR(B47="",E47=""),"",IF(COUNTIFS(Seances!$A:$A,E47,Seances!$B:$B,F47,Seances!$C:$C,D47)=0,"Séance à créer dans Seances","OK"))</f>
        <v/>
      </c>
      <c r="J47" s="11"/>
      <c r="K47" s="11"/>
    </row>
    <row r="48" customFormat="false" ht="15" hidden="false" customHeight="false" outlineLevel="0" collapsed="false">
      <c r="A48" s="10"/>
      <c r="B48" s="11"/>
      <c r="C48" s="15" t="str">
        <f aca="false">IF(B48="","",IFERROR(INDEX(Achats!$C:$C,MATCH(B48,Achats!$B:$B,0)),"N° inconnu dans Achats"))</f>
        <v/>
      </c>
      <c r="D48" s="15" t="str">
        <f aca="false">IF(B48="","",IFERROR(INDEX(Achats!$F:$F,MATCH(B48,Achats!$B:$B,0)),""))</f>
        <v/>
      </c>
      <c r="E48" s="10"/>
      <c r="F48" s="16"/>
      <c r="G48" s="12"/>
      <c r="H48" s="11"/>
      <c r="I48" s="15" t="str">
        <f aca="false">IF(OR(B48="",E48=""),"",IF(COUNTIFS(Seances!$A:$A,E48,Seances!$B:$B,F48,Seances!$C:$C,D48)=0,"Séance à créer dans Seances","OK"))</f>
        <v/>
      </c>
      <c r="J48" s="11"/>
      <c r="K48" s="11"/>
    </row>
    <row r="49" customFormat="false" ht="15" hidden="false" customHeight="false" outlineLevel="0" collapsed="false">
      <c r="A49" s="10"/>
      <c r="B49" s="11"/>
      <c r="C49" s="15" t="str">
        <f aca="false">IF(B49="","",IFERROR(INDEX(Achats!$C:$C,MATCH(B49,Achats!$B:$B,0)),"N° inconnu dans Achats"))</f>
        <v/>
      </c>
      <c r="D49" s="15" t="str">
        <f aca="false">IF(B49="","",IFERROR(INDEX(Achats!$F:$F,MATCH(B49,Achats!$B:$B,0)),""))</f>
        <v/>
      </c>
      <c r="E49" s="10"/>
      <c r="F49" s="16"/>
      <c r="G49" s="12"/>
      <c r="H49" s="11"/>
      <c r="I49" s="15" t="str">
        <f aca="false">IF(OR(B49="",E49=""),"",IF(COUNTIFS(Seances!$A:$A,E49,Seances!$B:$B,F49,Seances!$C:$C,D49)=0,"Séance à créer dans Seances","OK"))</f>
        <v/>
      </c>
      <c r="J49" s="11"/>
      <c r="K49" s="11"/>
    </row>
    <row r="50" customFormat="false" ht="15" hidden="false" customHeight="false" outlineLevel="0" collapsed="false">
      <c r="A50" s="10"/>
      <c r="B50" s="11"/>
      <c r="C50" s="15" t="str">
        <f aca="false">IF(B50="","",IFERROR(INDEX(Achats!$C:$C,MATCH(B50,Achats!$B:$B,0)),"N° inconnu dans Achats"))</f>
        <v/>
      </c>
      <c r="D50" s="15" t="str">
        <f aca="false">IF(B50="","",IFERROR(INDEX(Achats!$F:$F,MATCH(B50,Achats!$B:$B,0)),""))</f>
        <v/>
      </c>
      <c r="E50" s="10"/>
      <c r="F50" s="16"/>
      <c r="G50" s="12"/>
      <c r="H50" s="11"/>
      <c r="I50" s="15" t="str">
        <f aca="false">IF(OR(B50="",E50=""),"",IF(COUNTIFS(Seances!$A:$A,E50,Seances!$B:$B,F50,Seances!$C:$C,D50)=0,"Séance à créer dans Seances","OK"))</f>
        <v/>
      </c>
      <c r="J50" s="11"/>
      <c r="K50" s="11"/>
    </row>
    <row r="51" customFormat="false" ht="15" hidden="false" customHeight="false" outlineLevel="0" collapsed="false">
      <c r="A51" s="10"/>
      <c r="B51" s="11"/>
      <c r="C51" s="15" t="str">
        <f aca="false">IF(B51="","",IFERROR(INDEX(Achats!$C:$C,MATCH(B51,Achats!$B:$B,0)),"N° inconnu dans Achats"))</f>
        <v/>
      </c>
      <c r="D51" s="15" t="str">
        <f aca="false">IF(B51="","",IFERROR(INDEX(Achats!$F:$F,MATCH(B51,Achats!$B:$B,0)),""))</f>
        <v/>
      </c>
      <c r="E51" s="10"/>
      <c r="F51" s="16"/>
      <c r="G51" s="12"/>
      <c r="H51" s="11"/>
      <c r="I51" s="15" t="str">
        <f aca="false">IF(OR(B51="",E51=""),"",IF(COUNTIFS(Seances!$A:$A,E51,Seances!$B:$B,F51,Seances!$C:$C,D51)=0,"Séance à créer dans Seances","OK"))</f>
        <v/>
      </c>
      <c r="J51" s="11"/>
      <c r="K51" s="11"/>
    </row>
    <row r="52" customFormat="false" ht="15" hidden="false" customHeight="false" outlineLevel="0" collapsed="false">
      <c r="A52" s="10"/>
      <c r="B52" s="11"/>
      <c r="C52" s="15" t="str">
        <f aca="false">IF(B52="","",IFERROR(INDEX(Achats!$C:$C,MATCH(B52,Achats!$B:$B,0)),"N° inconnu dans Achats"))</f>
        <v/>
      </c>
      <c r="D52" s="15" t="str">
        <f aca="false">IF(B52="","",IFERROR(INDEX(Achats!$F:$F,MATCH(B52,Achats!$B:$B,0)),""))</f>
        <v/>
      </c>
      <c r="E52" s="10"/>
      <c r="F52" s="16"/>
      <c r="G52" s="12"/>
      <c r="H52" s="11"/>
      <c r="I52" s="15" t="str">
        <f aca="false">IF(OR(B52="",E52=""),"",IF(COUNTIFS(Seances!$A:$A,E52,Seances!$B:$B,F52,Seances!$C:$C,D52)=0,"Séance à créer dans Seances","OK"))</f>
        <v/>
      </c>
      <c r="J52" s="11"/>
      <c r="K52" s="11"/>
    </row>
    <row r="53" customFormat="false" ht="15" hidden="false" customHeight="false" outlineLevel="0" collapsed="false">
      <c r="A53" s="10"/>
      <c r="B53" s="11"/>
      <c r="C53" s="15" t="str">
        <f aca="false">IF(B53="","",IFERROR(INDEX(Achats!$C:$C,MATCH(B53,Achats!$B:$B,0)),"N° inconnu dans Achats"))</f>
        <v/>
      </c>
      <c r="D53" s="15" t="str">
        <f aca="false">IF(B53="","",IFERROR(INDEX(Achats!$F:$F,MATCH(B53,Achats!$B:$B,0)),""))</f>
        <v/>
      </c>
      <c r="E53" s="10"/>
      <c r="F53" s="16"/>
      <c r="G53" s="12"/>
      <c r="H53" s="11"/>
      <c r="I53" s="15" t="str">
        <f aca="false">IF(OR(B53="",E53=""),"",IF(COUNTIFS(Seances!$A:$A,E53,Seances!$B:$B,F53,Seances!$C:$C,D53)=0,"Séance à créer dans Seances","OK"))</f>
        <v/>
      </c>
      <c r="J53" s="11"/>
      <c r="K53" s="11"/>
    </row>
    <row r="54" customFormat="false" ht="15" hidden="false" customHeight="false" outlineLevel="0" collapsed="false">
      <c r="A54" s="10"/>
      <c r="B54" s="11"/>
      <c r="C54" s="15" t="str">
        <f aca="false">IF(B54="","",IFERROR(INDEX(Achats!$C:$C,MATCH(B54,Achats!$B:$B,0)),"N° inconnu dans Achats"))</f>
        <v/>
      </c>
      <c r="D54" s="15" t="str">
        <f aca="false">IF(B54="","",IFERROR(INDEX(Achats!$F:$F,MATCH(B54,Achats!$B:$B,0)),""))</f>
        <v/>
      </c>
      <c r="E54" s="10"/>
      <c r="F54" s="16"/>
      <c r="G54" s="12"/>
      <c r="H54" s="11"/>
      <c r="I54" s="15" t="str">
        <f aca="false">IF(OR(B54="",E54=""),"",IF(COUNTIFS(Seances!$A:$A,E54,Seances!$B:$B,F54,Seances!$C:$C,D54)=0,"Séance à créer dans Seances","OK"))</f>
        <v/>
      </c>
      <c r="J54" s="11"/>
      <c r="K54" s="11"/>
    </row>
    <row r="55" customFormat="false" ht="15" hidden="false" customHeight="false" outlineLevel="0" collapsed="false">
      <c r="A55" s="10"/>
      <c r="B55" s="11"/>
      <c r="C55" s="15" t="str">
        <f aca="false">IF(B55="","",IFERROR(INDEX(Achats!$C:$C,MATCH(B55,Achats!$B:$B,0)),"N° inconnu dans Achats"))</f>
        <v/>
      </c>
      <c r="D55" s="15" t="str">
        <f aca="false">IF(B55="","",IFERROR(INDEX(Achats!$F:$F,MATCH(B55,Achats!$B:$B,0)),""))</f>
        <v/>
      </c>
      <c r="E55" s="10"/>
      <c r="F55" s="16"/>
      <c r="G55" s="12"/>
      <c r="H55" s="11"/>
      <c r="I55" s="15" t="str">
        <f aca="false">IF(OR(B55="",E55=""),"",IF(COUNTIFS(Seances!$A:$A,E55,Seances!$B:$B,F55,Seances!$C:$C,D55)=0,"Séance à créer dans Seances","OK"))</f>
        <v/>
      </c>
      <c r="J55" s="11"/>
      <c r="K55" s="11"/>
    </row>
    <row r="56" customFormat="false" ht="15" hidden="false" customHeight="false" outlineLevel="0" collapsed="false">
      <c r="A56" s="10"/>
      <c r="B56" s="11"/>
      <c r="C56" s="15" t="str">
        <f aca="false">IF(B56="","",IFERROR(INDEX(Achats!$C:$C,MATCH(B56,Achats!$B:$B,0)),"N° inconnu dans Achats"))</f>
        <v/>
      </c>
      <c r="D56" s="15" t="str">
        <f aca="false">IF(B56="","",IFERROR(INDEX(Achats!$F:$F,MATCH(B56,Achats!$B:$B,0)),""))</f>
        <v/>
      </c>
      <c r="E56" s="10"/>
      <c r="F56" s="16"/>
      <c r="G56" s="12"/>
      <c r="H56" s="11"/>
      <c r="I56" s="15" t="str">
        <f aca="false">IF(OR(B56="",E56=""),"",IF(COUNTIFS(Seances!$A:$A,E56,Seances!$B:$B,F56,Seances!$C:$C,D56)=0,"Séance à créer dans Seances","OK"))</f>
        <v/>
      </c>
      <c r="J56" s="11"/>
      <c r="K56" s="11"/>
    </row>
    <row r="57" customFormat="false" ht="15" hidden="false" customHeight="false" outlineLevel="0" collapsed="false">
      <c r="A57" s="10"/>
      <c r="B57" s="11"/>
      <c r="C57" s="15" t="str">
        <f aca="false">IF(B57="","",IFERROR(INDEX(Achats!$C:$C,MATCH(B57,Achats!$B:$B,0)),"N° inconnu dans Achats"))</f>
        <v/>
      </c>
      <c r="D57" s="15" t="str">
        <f aca="false">IF(B57="","",IFERROR(INDEX(Achats!$F:$F,MATCH(B57,Achats!$B:$B,0)),""))</f>
        <v/>
      </c>
      <c r="E57" s="10"/>
      <c r="F57" s="16"/>
      <c r="G57" s="12"/>
      <c r="H57" s="11"/>
      <c r="I57" s="15" t="str">
        <f aca="false">IF(OR(B57="",E57=""),"",IF(COUNTIFS(Seances!$A:$A,E57,Seances!$B:$B,F57,Seances!$C:$C,D57)=0,"Séance à créer dans Seances","OK"))</f>
        <v/>
      </c>
      <c r="J57" s="11"/>
      <c r="K57" s="11"/>
    </row>
    <row r="58" customFormat="false" ht="15" hidden="false" customHeight="false" outlineLevel="0" collapsed="false">
      <c r="A58" s="10"/>
      <c r="B58" s="11"/>
      <c r="C58" s="15" t="str">
        <f aca="false">IF(B58="","",IFERROR(INDEX(Achats!$C:$C,MATCH(B58,Achats!$B:$B,0)),"N° inconnu dans Achats"))</f>
        <v/>
      </c>
      <c r="D58" s="15" t="str">
        <f aca="false">IF(B58="","",IFERROR(INDEX(Achats!$F:$F,MATCH(B58,Achats!$B:$B,0)),""))</f>
        <v/>
      </c>
      <c r="E58" s="10"/>
      <c r="F58" s="16"/>
      <c r="G58" s="12"/>
      <c r="H58" s="11"/>
      <c r="I58" s="15" t="str">
        <f aca="false">IF(OR(B58="",E58=""),"",IF(COUNTIFS(Seances!$A:$A,E58,Seances!$B:$B,F58,Seances!$C:$C,D58)=0,"Séance à créer dans Seances","OK"))</f>
        <v/>
      </c>
      <c r="J58" s="11"/>
      <c r="K58" s="11"/>
    </row>
    <row r="59" customFormat="false" ht="15" hidden="false" customHeight="false" outlineLevel="0" collapsed="false">
      <c r="A59" s="10"/>
      <c r="B59" s="11"/>
      <c r="C59" s="15" t="str">
        <f aca="false">IF(B59="","",IFERROR(INDEX(Achats!$C:$C,MATCH(B59,Achats!$B:$B,0)),"N° inconnu dans Achats"))</f>
        <v/>
      </c>
      <c r="D59" s="15" t="str">
        <f aca="false">IF(B59="","",IFERROR(INDEX(Achats!$F:$F,MATCH(B59,Achats!$B:$B,0)),""))</f>
        <v/>
      </c>
      <c r="E59" s="10"/>
      <c r="F59" s="16"/>
      <c r="G59" s="12"/>
      <c r="H59" s="11"/>
      <c r="I59" s="15" t="str">
        <f aca="false">IF(OR(B59="",E59=""),"",IF(COUNTIFS(Seances!$A:$A,E59,Seances!$B:$B,F59,Seances!$C:$C,D59)=0,"Séance à créer dans Seances","OK"))</f>
        <v/>
      </c>
      <c r="J59" s="11"/>
      <c r="K59" s="11"/>
    </row>
    <row r="60" customFormat="false" ht="15" hidden="false" customHeight="false" outlineLevel="0" collapsed="false">
      <c r="A60" s="10"/>
      <c r="B60" s="11"/>
      <c r="C60" s="15" t="str">
        <f aca="false">IF(B60="","",IFERROR(INDEX(Achats!$C:$C,MATCH(B60,Achats!$B:$B,0)),"N° inconnu dans Achats"))</f>
        <v/>
      </c>
      <c r="D60" s="15" t="str">
        <f aca="false">IF(B60="","",IFERROR(INDEX(Achats!$F:$F,MATCH(B60,Achats!$B:$B,0)),""))</f>
        <v/>
      </c>
      <c r="E60" s="10"/>
      <c r="F60" s="16"/>
      <c r="G60" s="12"/>
      <c r="H60" s="11"/>
      <c r="I60" s="15" t="str">
        <f aca="false">IF(OR(B60="",E60=""),"",IF(COUNTIFS(Seances!$A:$A,E60,Seances!$B:$B,F60,Seances!$C:$C,D60)=0,"Séance à créer dans Seances","OK"))</f>
        <v/>
      </c>
      <c r="J60" s="11"/>
      <c r="K60" s="11"/>
    </row>
    <row r="61" customFormat="false" ht="15" hidden="false" customHeight="false" outlineLevel="0" collapsed="false">
      <c r="A61" s="10"/>
      <c r="B61" s="11"/>
      <c r="C61" s="15" t="str">
        <f aca="false">IF(B61="","",IFERROR(INDEX(Achats!$C:$C,MATCH(B61,Achats!$B:$B,0)),"N° inconnu dans Achats"))</f>
        <v/>
      </c>
      <c r="D61" s="15" t="str">
        <f aca="false">IF(B61="","",IFERROR(INDEX(Achats!$F:$F,MATCH(B61,Achats!$B:$B,0)),""))</f>
        <v/>
      </c>
      <c r="E61" s="10"/>
      <c r="F61" s="16"/>
      <c r="G61" s="12"/>
      <c r="H61" s="11"/>
      <c r="I61" s="15" t="str">
        <f aca="false">IF(OR(B61="",E61=""),"",IF(COUNTIFS(Seances!$A:$A,E61,Seances!$B:$B,F61,Seances!$C:$C,D61)=0,"Séance à créer dans Seances","OK"))</f>
        <v/>
      </c>
      <c r="J61" s="11"/>
      <c r="K61" s="11"/>
    </row>
    <row r="62" customFormat="false" ht="15" hidden="false" customHeight="false" outlineLevel="0" collapsed="false">
      <c r="A62" s="10"/>
      <c r="B62" s="11"/>
      <c r="C62" s="15" t="str">
        <f aca="false">IF(B62="","",IFERROR(INDEX(Achats!$C:$C,MATCH(B62,Achats!$B:$B,0)),"N° inconnu dans Achats"))</f>
        <v/>
      </c>
      <c r="D62" s="15" t="str">
        <f aca="false">IF(B62="","",IFERROR(INDEX(Achats!$F:$F,MATCH(B62,Achats!$B:$B,0)),""))</f>
        <v/>
      </c>
      <c r="E62" s="10"/>
      <c r="F62" s="16"/>
      <c r="G62" s="12"/>
      <c r="H62" s="11"/>
      <c r="I62" s="15" t="str">
        <f aca="false">IF(OR(B62="",E62=""),"",IF(COUNTIFS(Seances!$A:$A,E62,Seances!$B:$B,F62,Seances!$C:$C,D62)=0,"Séance à créer dans Seances","OK"))</f>
        <v/>
      </c>
      <c r="J62" s="11"/>
      <c r="K62" s="11"/>
    </row>
    <row r="63" customFormat="false" ht="15" hidden="false" customHeight="false" outlineLevel="0" collapsed="false">
      <c r="A63" s="10"/>
      <c r="B63" s="11"/>
      <c r="C63" s="15" t="str">
        <f aca="false">IF(B63="","",IFERROR(INDEX(Achats!$C:$C,MATCH(B63,Achats!$B:$B,0)),"N° inconnu dans Achats"))</f>
        <v/>
      </c>
      <c r="D63" s="15" t="str">
        <f aca="false">IF(B63="","",IFERROR(INDEX(Achats!$F:$F,MATCH(B63,Achats!$B:$B,0)),""))</f>
        <v/>
      </c>
      <c r="E63" s="10"/>
      <c r="F63" s="16"/>
      <c r="G63" s="12"/>
      <c r="H63" s="11"/>
      <c r="I63" s="15" t="str">
        <f aca="false">IF(OR(B63="",E63=""),"",IF(COUNTIFS(Seances!$A:$A,E63,Seances!$B:$B,F63,Seances!$C:$C,D63)=0,"Séance à créer dans Seances","OK"))</f>
        <v/>
      </c>
      <c r="J63" s="11"/>
      <c r="K63" s="11"/>
    </row>
    <row r="64" customFormat="false" ht="15" hidden="false" customHeight="false" outlineLevel="0" collapsed="false">
      <c r="A64" s="10"/>
      <c r="B64" s="11"/>
      <c r="C64" s="15" t="str">
        <f aca="false">IF(B64="","",IFERROR(INDEX(Achats!$C:$C,MATCH(B64,Achats!$B:$B,0)),"N° inconnu dans Achats"))</f>
        <v/>
      </c>
      <c r="D64" s="15" t="str">
        <f aca="false">IF(B64="","",IFERROR(INDEX(Achats!$F:$F,MATCH(B64,Achats!$B:$B,0)),""))</f>
        <v/>
      </c>
      <c r="E64" s="10"/>
      <c r="F64" s="16"/>
      <c r="G64" s="12"/>
      <c r="H64" s="11"/>
      <c r="I64" s="15" t="str">
        <f aca="false">IF(OR(B64="",E64=""),"",IF(COUNTIFS(Seances!$A:$A,E64,Seances!$B:$B,F64,Seances!$C:$C,D64)=0,"Séance à créer dans Seances","OK"))</f>
        <v/>
      </c>
      <c r="J64" s="11"/>
      <c r="K64" s="11"/>
    </row>
    <row r="65" customFormat="false" ht="15" hidden="false" customHeight="false" outlineLevel="0" collapsed="false">
      <c r="A65" s="10"/>
      <c r="B65" s="11"/>
      <c r="C65" s="15" t="str">
        <f aca="false">IF(B65="","",IFERROR(INDEX(Achats!$C:$C,MATCH(B65,Achats!$B:$B,0)),"N° inconnu dans Achats"))</f>
        <v/>
      </c>
      <c r="D65" s="15" t="str">
        <f aca="false">IF(B65="","",IFERROR(INDEX(Achats!$F:$F,MATCH(B65,Achats!$B:$B,0)),""))</f>
        <v/>
      </c>
      <c r="E65" s="10"/>
      <c r="F65" s="16"/>
      <c r="G65" s="12"/>
      <c r="H65" s="11"/>
      <c r="I65" s="15" t="str">
        <f aca="false">IF(OR(B65="",E65=""),"",IF(COUNTIFS(Seances!$A:$A,E65,Seances!$B:$B,F65,Seances!$C:$C,D65)=0,"Séance à créer dans Seances","OK"))</f>
        <v/>
      </c>
      <c r="J65" s="11"/>
      <c r="K65" s="11"/>
    </row>
    <row r="66" customFormat="false" ht="15" hidden="false" customHeight="false" outlineLevel="0" collapsed="false">
      <c r="A66" s="10"/>
      <c r="B66" s="11"/>
      <c r="C66" s="15" t="str">
        <f aca="false">IF(B66="","",IFERROR(INDEX(Achats!$C:$C,MATCH(B66,Achats!$B:$B,0)),"N° inconnu dans Achats"))</f>
        <v/>
      </c>
      <c r="D66" s="15" t="str">
        <f aca="false">IF(B66="","",IFERROR(INDEX(Achats!$F:$F,MATCH(B66,Achats!$B:$B,0)),""))</f>
        <v/>
      </c>
      <c r="E66" s="10"/>
      <c r="F66" s="16"/>
      <c r="G66" s="12"/>
      <c r="H66" s="11"/>
      <c r="I66" s="15" t="str">
        <f aca="false">IF(OR(B66="",E66=""),"",IF(COUNTIFS(Seances!$A:$A,E66,Seances!$B:$B,F66,Seances!$C:$C,D66)=0,"Séance à créer dans Seances","OK"))</f>
        <v/>
      </c>
      <c r="J66" s="11"/>
      <c r="K66" s="11"/>
    </row>
    <row r="67" customFormat="false" ht="15" hidden="false" customHeight="false" outlineLevel="0" collapsed="false">
      <c r="A67" s="10"/>
      <c r="B67" s="11"/>
      <c r="C67" s="15" t="str">
        <f aca="false">IF(B67="","",IFERROR(INDEX(Achats!$C:$C,MATCH(B67,Achats!$B:$B,0)),"N° inconnu dans Achats"))</f>
        <v/>
      </c>
      <c r="D67" s="15" t="str">
        <f aca="false">IF(B67="","",IFERROR(INDEX(Achats!$F:$F,MATCH(B67,Achats!$B:$B,0)),""))</f>
        <v/>
      </c>
      <c r="E67" s="10"/>
      <c r="F67" s="16"/>
      <c r="G67" s="12"/>
      <c r="H67" s="11"/>
      <c r="I67" s="15" t="str">
        <f aca="false">IF(OR(B67="",E67=""),"",IF(COUNTIFS(Seances!$A:$A,E67,Seances!$B:$B,F67,Seances!$C:$C,D67)=0,"Séance à créer dans Seances","OK"))</f>
        <v/>
      </c>
      <c r="J67" s="11"/>
      <c r="K67" s="11"/>
    </row>
    <row r="68" customFormat="false" ht="15" hidden="false" customHeight="false" outlineLevel="0" collapsed="false">
      <c r="A68" s="10"/>
      <c r="B68" s="11"/>
      <c r="C68" s="15" t="str">
        <f aca="false">IF(B68="","",IFERROR(INDEX(Achats!$C:$C,MATCH(B68,Achats!$B:$B,0)),"N° inconnu dans Achats"))</f>
        <v/>
      </c>
      <c r="D68" s="15" t="str">
        <f aca="false">IF(B68="","",IFERROR(INDEX(Achats!$F:$F,MATCH(B68,Achats!$B:$B,0)),""))</f>
        <v/>
      </c>
      <c r="E68" s="10"/>
      <c r="F68" s="16"/>
      <c r="G68" s="12"/>
      <c r="H68" s="11"/>
      <c r="I68" s="15" t="str">
        <f aca="false">IF(OR(B68="",E68=""),"",IF(COUNTIFS(Seances!$A:$A,E68,Seances!$B:$B,F68,Seances!$C:$C,D68)=0,"Séance à créer dans Seances","OK"))</f>
        <v/>
      </c>
      <c r="J68" s="11"/>
      <c r="K68" s="11"/>
    </row>
    <row r="69" customFormat="false" ht="15" hidden="false" customHeight="false" outlineLevel="0" collapsed="false">
      <c r="A69" s="10"/>
      <c r="B69" s="11"/>
      <c r="C69" s="15" t="str">
        <f aca="false">IF(B69="","",IFERROR(INDEX(Achats!$C:$C,MATCH(B69,Achats!$B:$B,0)),"N° inconnu dans Achats"))</f>
        <v/>
      </c>
      <c r="D69" s="15" t="str">
        <f aca="false">IF(B69="","",IFERROR(INDEX(Achats!$F:$F,MATCH(B69,Achats!$B:$B,0)),""))</f>
        <v/>
      </c>
      <c r="E69" s="10"/>
      <c r="F69" s="16"/>
      <c r="G69" s="12"/>
      <c r="H69" s="11"/>
      <c r="I69" s="15" t="str">
        <f aca="false">IF(OR(B69="",E69=""),"",IF(COUNTIFS(Seances!$A:$A,E69,Seances!$B:$B,F69,Seances!$C:$C,D69)=0,"Séance à créer dans Seances","OK"))</f>
        <v/>
      </c>
      <c r="J69" s="11"/>
      <c r="K69" s="11"/>
    </row>
    <row r="70" customFormat="false" ht="15" hidden="false" customHeight="false" outlineLevel="0" collapsed="false">
      <c r="A70" s="10"/>
      <c r="B70" s="11"/>
      <c r="C70" s="15" t="str">
        <f aca="false">IF(B70="","",IFERROR(INDEX(Achats!$C:$C,MATCH(B70,Achats!$B:$B,0)),"N° inconnu dans Achats"))</f>
        <v/>
      </c>
      <c r="D70" s="15" t="str">
        <f aca="false">IF(B70="","",IFERROR(INDEX(Achats!$F:$F,MATCH(B70,Achats!$B:$B,0)),""))</f>
        <v/>
      </c>
      <c r="E70" s="10"/>
      <c r="F70" s="16"/>
      <c r="G70" s="12"/>
      <c r="H70" s="11"/>
      <c r="I70" s="15" t="str">
        <f aca="false">IF(OR(B70="",E70=""),"",IF(COUNTIFS(Seances!$A:$A,E70,Seances!$B:$B,F70,Seances!$C:$C,D70)=0,"Séance à créer dans Seances","OK"))</f>
        <v/>
      </c>
      <c r="J70" s="11"/>
      <c r="K70" s="11"/>
    </row>
    <row r="71" customFormat="false" ht="15" hidden="false" customHeight="false" outlineLevel="0" collapsed="false">
      <c r="A71" s="10"/>
      <c r="B71" s="11"/>
      <c r="C71" s="15" t="str">
        <f aca="false">IF(B71="","",IFERROR(INDEX(Achats!$C:$C,MATCH(B71,Achats!$B:$B,0)),"N° inconnu dans Achats"))</f>
        <v/>
      </c>
      <c r="D71" s="15" t="str">
        <f aca="false">IF(B71="","",IFERROR(INDEX(Achats!$F:$F,MATCH(B71,Achats!$B:$B,0)),""))</f>
        <v/>
      </c>
      <c r="E71" s="10"/>
      <c r="F71" s="16"/>
      <c r="G71" s="12"/>
      <c r="H71" s="11"/>
      <c r="I71" s="15" t="str">
        <f aca="false">IF(OR(B71="",E71=""),"",IF(COUNTIFS(Seances!$A:$A,E71,Seances!$B:$B,F71,Seances!$C:$C,D71)=0,"Séance à créer dans Seances","OK"))</f>
        <v/>
      </c>
      <c r="J71" s="11"/>
      <c r="K71" s="11"/>
    </row>
    <row r="72" customFormat="false" ht="15" hidden="false" customHeight="false" outlineLevel="0" collapsed="false">
      <c r="A72" s="10"/>
      <c r="B72" s="11"/>
      <c r="C72" s="15" t="str">
        <f aca="false">IF(B72="","",IFERROR(INDEX(Achats!$C:$C,MATCH(B72,Achats!$B:$B,0)),"N° inconnu dans Achats"))</f>
        <v/>
      </c>
      <c r="D72" s="15" t="str">
        <f aca="false">IF(B72="","",IFERROR(INDEX(Achats!$F:$F,MATCH(B72,Achats!$B:$B,0)),""))</f>
        <v/>
      </c>
      <c r="E72" s="10"/>
      <c r="F72" s="16"/>
      <c r="G72" s="12"/>
      <c r="H72" s="11"/>
      <c r="I72" s="15" t="str">
        <f aca="false">IF(OR(B72="",E72=""),"",IF(COUNTIFS(Seances!$A:$A,E72,Seances!$B:$B,F72,Seances!$C:$C,D72)=0,"Séance à créer dans Seances","OK"))</f>
        <v/>
      </c>
      <c r="J72" s="11"/>
      <c r="K72" s="11"/>
    </row>
    <row r="73" customFormat="false" ht="15" hidden="false" customHeight="false" outlineLevel="0" collapsed="false">
      <c r="A73" s="10"/>
      <c r="B73" s="11"/>
      <c r="C73" s="15" t="str">
        <f aca="false">IF(B73="","",IFERROR(INDEX(Achats!$C:$C,MATCH(B73,Achats!$B:$B,0)),"N° inconnu dans Achats"))</f>
        <v/>
      </c>
      <c r="D73" s="15" t="str">
        <f aca="false">IF(B73="","",IFERROR(INDEX(Achats!$F:$F,MATCH(B73,Achats!$B:$B,0)),""))</f>
        <v/>
      </c>
      <c r="E73" s="10"/>
      <c r="F73" s="16"/>
      <c r="G73" s="12"/>
      <c r="H73" s="11"/>
      <c r="I73" s="15" t="str">
        <f aca="false">IF(OR(B73="",E73=""),"",IF(COUNTIFS(Seances!$A:$A,E73,Seances!$B:$B,F73,Seances!$C:$C,D73)=0,"Séance à créer dans Seances","OK"))</f>
        <v/>
      </c>
      <c r="J73" s="11"/>
      <c r="K73" s="11"/>
    </row>
    <row r="74" customFormat="false" ht="15" hidden="false" customHeight="false" outlineLevel="0" collapsed="false">
      <c r="A74" s="10"/>
      <c r="B74" s="11"/>
      <c r="C74" s="15" t="str">
        <f aca="false">IF(B74="","",IFERROR(INDEX(Achats!$C:$C,MATCH(B74,Achats!$B:$B,0)),"N° inconnu dans Achats"))</f>
        <v/>
      </c>
      <c r="D74" s="15" t="str">
        <f aca="false">IF(B74="","",IFERROR(INDEX(Achats!$F:$F,MATCH(B74,Achats!$B:$B,0)),""))</f>
        <v/>
      </c>
      <c r="E74" s="10"/>
      <c r="F74" s="16"/>
      <c r="G74" s="12"/>
      <c r="H74" s="11"/>
      <c r="I74" s="15" t="str">
        <f aca="false">IF(OR(B74="",E74=""),"",IF(COUNTIFS(Seances!$A:$A,E74,Seances!$B:$B,F74,Seances!$C:$C,D74)=0,"Séance à créer dans Seances","OK"))</f>
        <v/>
      </c>
      <c r="J74" s="11"/>
      <c r="K74" s="11"/>
    </row>
    <row r="75" customFormat="false" ht="15" hidden="false" customHeight="false" outlineLevel="0" collapsed="false">
      <c r="A75" s="10"/>
      <c r="B75" s="11"/>
      <c r="C75" s="15" t="str">
        <f aca="false">IF(B75="","",IFERROR(INDEX(Achats!$C:$C,MATCH(B75,Achats!$B:$B,0)),"N° inconnu dans Achats"))</f>
        <v/>
      </c>
      <c r="D75" s="15" t="str">
        <f aca="false">IF(B75="","",IFERROR(INDEX(Achats!$F:$F,MATCH(B75,Achats!$B:$B,0)),""))</f>
        <v/>
      </c>
      <c r="E75" s="10"/>
      <c r="F75" s="16"/>
      <c r="G75" s="12"/>
      <c r="H75" s="11"/>
      <c r="I75" s="15" t="str">
        <f aca="false">IF(OR(B75="",E75=""),"",IF(COUNTIFS(Seances!$A:$A,E75,Seances!$B:$B,F75,Seances!$C:$C,D75)=0,"Séance à créer dans Seances","OK"))</f>
        <v/>
      </c>
      <c r="J75" s="11"/>
      <c r="K75" s="11"/>
    </row>
    <row r="76" customFormat="false" ht="15" hidden="false" customHeight="false" outlineLevel="0" collapsed="false">
      <c r="A76" s="10"/>
      <c r="B76" s="11"/>
      <c r="C76" s="15" t="str">
        <f aca="false">IF(B76="","",IFERROR(INDEX(Achats!$C:$C,MATCH(B76,Achats!$B:$B,0)),"N° inconnu dans Achats"))</f>
        <v/>
      </c>
      <c r="D76" s="15" t="str">
        <f aca="false">IF(B76="","",IFERROR(INDEX(Achats!$F:$F,MATCH(B76,Achats!$B:$B,0)),""))</f>
        <v/>
      </c>
      <c r="E76" s="10"/>
      <c r="F76" s="16"/>
      <c r="G76" s="12"/>
      <c r="H76" s="11"/>
      <c r="I76" s="15" t="str">
        <f aca="false">IF(OR(B76="",E76=""),"",IF(COUNTIFS(Seances!$A:$A,E76,Seances!$B:$B,F76,Seances!$C:$C,D76)=0,"Séance à créer dans Seances","OK"))</f>
        <v/>
      </c>
      <c r="J76" s="11"/>
      <c r="K76" s="11"/>
    </row>
    <row r="77" customFormat="false" ht="15" hidden="false" customHeight="false" outlineLevel="0" collapsed="false">
      <c r="A77" s="10"/>
      <c r="B77" s="11"/>
      <c r="C77" s="15" t="str">
        <f aca="false">IF(B77="","",IFERROR(INDEX(Achats!$C:$C,MATCH(B77,Achats!$B:$B,0)),"N° inconnu dans Achats"))</f>
        <v/>
      </c>
      <c r="D77" s="15" t="str">
        <f aca="false">IF(B77="","",IFERROR(INDEX(Achats!$F:$F,MATCH(B77,Achats!$B:$B,0)),""))</f>
        <v/>
      </c>
      <c r="E77" s="10"/>
      <c r="F77" s="16"/>
      <c r="G77" s="12"/>
      <c r="H77" s="11"/>
      <c r="I77" s="15" t="str">
        <f aca="false">IF(OR(B77="",E77=""),"",IF(COUNTIFS(Seances!$A:$A,E77,Seances!$B:$B,F77,Seances!$C:$C,D77)=0,"Séance à créer dans Seances","OK"))</f>
        <v/>
      </c>
      <c r="J77" s="11"/>
      <c r="K77" s="11"/>
    </row>
    <row r="78" customFormat="false" ht="15" hidden="false" customHeight="false" outlineLevel="0" collapsed="false">
      <c r="A78" s="10"/>
      <c r="B78" s="11"/>
      <c r="C78" s="15" t="str">
        <f aca="false">IF(B78="","",IFERROR(INDEX(Achats!$C:$C,MATCH(B78,Achats!$B:$B,0)),"N° inconnu dans Achats"))</f>
        <v/>
      </c>
      <c r="D78" s="15" t="str">
        <f aca="false">IF(B78="","",IFERROR(INDEX(Achats!$F:$F,MATCH(B78,Achats!$B:$B,0)),""))</f>
        <v/>
      </c>
      <c r="E78" s="10"/>
      <c r="F78" s="16"/>
      <c r="G78" s="12"/>
      <c r="H78" s="11"/>
      <c r="I78" s="15" t="str">
        <f aca="false">IF(OR(B78="",E78=""),"",IF(COUNTIFS(Seances!$A:$A,E78,Seances!$B:$B,F78,Seances!$C:$C,D78)=0,"Séance à créer dans Seances","OK"))</f>
        <v/>
      </c>
      <c r="J78" s="11"/>
      <c r="K78" s="11"/>
    </row>
    <row r="79" customFormat="false" ht="15" hidden="false" customHeight="false" outlineLevel="0" collapsed="false">
      <c r="A79" s="10"/>
      <c r="B79" s="11"/>
      <c r="C79" s="15" t="str">
        <f aca="false">IF(B79="","",IFERROR(INDEX(Achats!$C:$C,MATCH(B79,Achats!$B:$B,0)),"N° inconnu dans Achats"))</f>
        <v/>
      </c>
      <c r="D79" s="15" t="str">
        <f aca="false">IF(B79="","",IFERROR(INDEX(Achats!$F:$F,MATCH(B79,Achats!$B:$B,0)),""))</f>
        <v/>
      </c>
      <c r="E79" s="10"/>
      <c r="F79" s="16"/>
      <c r="G79" s="12"/>
      <c r="H79" s="11"/>
      <c r="I79" s="15" t="str">
        <f aca="false">IF(OR(B79="",E79=""),"",IF(COUNTIFS(Seances!$A:$A,E79,Seances!$B:$B,F79,Seances!$C:$C,D79)=0,"Séance à créer dans Seances","OK"))</f>
        <v/>
      </c>
      <c r="J79" s="11"/>
      <c r="K79" s="11"/>
    </row>
    <row r="80" customFormat="false" ht="15" hidden="false" customHeight="false" outlineLevel="0" collapsed="false">
      <c r="A80" s="10"/>
      <c r="B80" s="11"/>
      <c r="C80" s="15" t="str">
        <f aca="false">IF(B80="","",IFERROR(INDEX(Achats!$C:$C,MATCH(B80,Achats!$B:$B,0)),"N° inconnu dans Achats"))</f>
        <v/>
      </c>
      <c r="D80" s="15" t="str">
        <f aca="false">IF(B80="","",IFERROR(INDEX(Achats!$F:$F,MATCH(B80,Achats!$B:$B,0)),""))</f>
        <v/>
      </c>
      <c r="E80" s="10"/>
      <c r="F80" s="16"/>
      <c r="G80" s="12"/>
      <c r="H80" s="11"/>
      <c r="I80" s="15" t="str">
        <f aca="false">IF(OR(B80="",E80=""),"",IF(COUNTIFS(Seances!$A:$A,E80,Seances!$B:$B,F80,Seances!$C:$C,D80)=0,"Séance à créer dans Seances","OK"))</f>
        <v/>
      </c>
      <c r="J80" s="11"/>
      <c r="K80" s="11"/>
    </row>
    <row r="81" customFormat="false" ht="15" hidden="false" customHeight="false" outlineLevel="0" collapsed="false">
      <c r="A81" s="10"/>
      <c r="B81" s="11"/>
      <c r="C81" s="15" t="str">
        <f aca="false">IF(B81="","",IFERROR(INDEX(Achats!$C:$C,MATCH(B81,Achats!$B:$B,0)),"N° inconnu dans Achats"))</f>
        <v/>
      </c>
      <c r="D81" s="15" t="str">
        <f aca="false">IF(B81="","",IFERROR(INDEX(Achats!$F:$F,MATCH(B81,Achats!$B:$B,0)),""))</f>
        <v/>
      </c>
      <c r="E81" s="10"/>
      <c r="F81" s="16"/>
      <c r="G81" s="12"/>
      <c r="H81" s="11"/>
      <c r="I81" s="15" t="str">
        <f aca="false">IF(OR(B81="",E81=""),"",IF(COUNTIFS(Seances!$A:$A,E81,Seances!$B:$B,F81,Seances!$C:$C,D81)=0,"Séance à créer dans Seances","OK"))</f>
        <v/>
      </c>
      <c r="J81" s="11"/>
      <c r="K81" s="11"/>
    </row>
    <row r="82" customFormat="false" ht="15" hidden="false" customHeight="false" outlineLevel="0" collapsed="false">
      <c r="A82" s="10"/>
      <c r="B82" s="11"/>
      <c r="C82" s="15" t="str">
        <f aca="false">IF(B82="","",IFERROR(INDEX(Achats!$C:$C,MATCH(B82,Achats!$B:$B,0)),"N° inconnu dans Achats"))</f>
        <v/>
      </c>
      <c r="D82" s="15" t="str">
        <f aca="false">IF(B82="","",IFERROR(INDEX(Achats!$F:$F,MATCH(B82,Achats!$B:$B,0)),""))</f>
        <v/>
      </c>
      <c r="E82" s="10"/>
      <c r="F82" s="16"/>
      <c r="G82" s="12"/>
      <c r="H82" s="11"/>
      <c r="I82" s="15" t="str">
        <f aca="false">IF(OR(B82="",E82=""),"",IF(COUNTIFS(Seances!$A:$A,E82,Seances!$B:$B,F82,Seances!$C:$C,D82)=0,"Séance à créer dans Seances","OK"))</f>
        <v/>
      </c>
      <c r="J82" s="11"/>
      <c r="K82" s="11"/>
    </row>
    <row r="83" customFormat="false" ht="15" hidden="false" customHeight="false" outlineLevel="0" collapsed="false">
      <c r="A83" s="10"/>
      <c r="B83" s="11"/>
      <c r="C83" s="15" t="str">
        <f aca="false">IF(B83="","",IFERROR(INDEX(Achats!$C:$C,MATCH(B83,Achats!$B:$B,0)),"N° inconnu dans Achats"))</f>
        <v/>
      </c>
      <c r="D83" s="15" t="str">
        <f aca="false">IF(B83="","",IFERROR(INDEX(Achats!$F:$F,MATCH(B83,Achats!$B:$B,0)),""))</f>
        <v/>
      </c>
      <c r="E83" s="10"/>
      <c r="F83" s="16"/>
      <c r="G83" s="12"/>
      <c r="H83" s="11"/>
      <c r="I83" s="15" t="str">
        <f aca="false">IF(OR(B83="",E83=""),"",IF(COUNTIFS(Seances!$A:$A,E83,Seances!$B:$B,F83,Seances!$C:$C,D83)=0,"Séance à créer dans Seances","OK"))</f>
        <v/>
      </c>
      <c r="J83" s="11"/>
      <c r="K83" s="11"/>
    </row>
    <row r="84" customFormat="false" ht="15" hidden="false" customHeight="false" outlineLevel="0" collapsed="false">
      <c r="A84" s="10"/>
      <c r="B84" s="11"/>
      <c r="C84" s="15" t="str">
        <f aca="false">IF(B84="","",IFERROR(INDEX(Achats!$C:$C,MATCH(B84,Achats!$B:$B,0)),"N° inconnu dans Achats"))</f>
        <v/>
      </c>
      <c r="D84" s="15" t="str">
        <f aca="false">IF(B84="","",IFERROR(INDEX(Achats!$F:$F,MATCH(B84,Achats!$B:$B,0)),""))</f>
        <v/>
      </c>
      <c r="E84" s="10"/>
      <c r="F84" s="16"/>
      <c r="G84" s="12"/>
      <c r="H84" s="11"/>
      <c r="I84" s="15" t="str">
        <f aca="false">IF(OR(B84="",E84=""),"",IF(COUNTIFS(Seances!$A:$A,E84,Seances!$B:$B,F84,Seances!$C:$C,D84)=0,"Séance à créer dans Seances","OK"))</f>
        <v/>
      </c>
      <c r="J84" s="11"/>
      <c r="K84" s="11"/>
    </row>
    <row r="85" customFormat="false" ht="15" hidden="false" customHeight="false" outlineLevel="0" collapsed="false">
      <c r="A85" s="10"/>
      <c r="B85" s="11"/>
      <c r="C85" s="15" t="str">
        <f aca="false">IF(B85="","",IFERROR(INDEX(Achats!$C:$C,MATCH(B85,Achats!$B:$B,0)),"N° inconnu dans Achats"))</f>
        <v/>
      </c>
      <c r="D85" s="15" t="str">
        <f aca="false">IF(B85="","",IFERROR(INDEX(Achats!$F:$F,MATCH(B85,Achats!$B:$B,0)),""))</f>
        <v/>
      </c>
      <c r="E85" s="10"/>
      <c r="F85" s="16"/>
      <c r="G85" s="12"/>
      <c r="H85" s="11"/>
      <c r="I85" s="15" t="str">
        <f aca="false">IF(OR(B85="",E85=""),"",IF(COUNTIFS(Seances!$A:$A,E85,Seances!$B:$B,F85,Seances!$C:$C,D85)=0,"Séance à créer dans Seances","OK"))</f>
        <v/>
      </c>
      <c r="J85" s="11"/>
      <c r="K85" s="11"/>
    </row>
    <row r="86" customFormat="false" ht="15" hidden="false" customHeight="false" outlineLevel="0" collapsed="false">
      <c r="A86" s="10"/>
      <c r="B86" s="11"/>
      <c r="C86" s="15" t="str">
        <f aca="false">IF(B86="","",IFERROR(INDEX(Achats!$C:$C,MATCH(B86,Achats!$B:$B,0)),"N° inconnu dans Achats"))</f>
        <v/>
      </c>
      <c r="D86" s="15" t="str">
        <f aca="false">IF(B86="","",IFERROR(INDEX(Achats!$F:$F,MATCH(B86,Achats!$B:$B,0)),""))</f>
        <v/>
      </c>
      <c r="E86" s="10"/>
      <c r="F86" s="16"/>
      <c r="G86" s="12"/>
      <c r="H86" s="11"/>
      <c r="I86" s="15" t="str">
        <f aca="false">IF(OR(B86="",E86=""),"",IF(COUNTIFS(Seances!$A:$A,E86,Seances!$B:$B,F86,Seances!$C:$C,D86)=0,"Séance à créer dans Seances","OK"))</f>
        <v/>
      </c>
      <c r="J86" s="11"/>
      <c r="K86" s="11"/>
    </row>
    <row r="87" customFormat="false" ht="15" hidden="false" customHeight="false" outlineLevel="0" collapsed="false">
      <c r="A87" s="10"/>
      <c r="B87" s="11"/>
      <c r="C87" s="15" t="str">
        <f aca="false">IF(B87="","",IFERROR(INDEX(Achats!$C:$C,MATCH(B87,Achats!$B:$B,0)),"N° inconnu dans Achats"))</f>
        <v/>
      </c>
      <c r="D87" s="15" t="str">
        <f aca="false">IF(B87="","",IFERROR(INDEX(Achats!$F:$F,MATCH(B87,Achats!$B:$B,0)),""))</f>
        <v/>
      </c>
      <c r="E87" s="10"/>
      <c r="F87" s="16"/>
      <c r="G87" s="12"/>
      <c r="H87" s="11"/>
      <c r="I87" s="15" t="str">
        <f aca="false">IF(OR(B87="",E87=""),"",IF(COUNTIFS(Seances!$A:$A,E87,Seances!$B:$B,F87,Seances!$C:$C,D87)=0,"Séance à créer dans Seances","OK"))</f>
        <v/>
      </c>
      <c r="J87" s="11"/>
      <c r="K87" s="11"/>
    </row>
    <row r="88" customFormat="false" ht="15" hidden="false" customHeight="false" outlineLevel="0" collapsed="false">
      <c r="A88" s="10"/>
      <c r="B88" s="11"/>
      <c r="C88" s="15" t="str">
        <f aca="false">IF(B88="","",IFERROR(INDEX(Achats!$C:$C,MATCH(B88,Achats!$B:$B,0)),"N° inconnu dans Achats"))</f>
        <v/>
      </c>
      <c r="D88" s="15" t="str">
        <f aca="false">IF(B88="","",IFERROR(INDEX(Achats!$F:$F,MATCH(B88,Achats!$B:$B,0)),""))</f>
        <v/>
      </c>
      <c r="E88" s="10"/>
      <c r="F88" s="16"/>
      <c r="G88" s="12"/>
      <c r="H88" s="11"/>
      <c r="I88" s="15" t="str">
        <f aca="false">IF(OR(B88="",E88=""),"",IF(COUNTIFS(Seances!$A:$A,E88,Seances!$B:$B,F88,Seances!$C:$C,D88)=0,"Séance à créer dans Seances","OK"))</f>
        <v/>
      </c>
      <c r="J88" s="11"/>
      <c r="K88" s="11"/>
    </row>
    <row r="89" customFormat="false" ht="15" hidden="false" customHeight="false" outlineLevel="0" collapsed="false">
      <c r="A89" s="10"/>
      <c r="B89" s="11"/>
      <c r="C89" s="15" t="str">
        <f aca="false">IF(B89="","",IFERROR(INDEX(Achats!$C:$C,MATCH(B89,Achats!$B:$B,0)),"N° inconnu dans Achats"))</f>
        <v/>
      </c>
      <c r="D89" s="15" t="str">
        <f aca="false">IF(B89="","",IFERROR(INDEX(Achats!$F:$F,MATCH(B89,Achats!$B:$B,0)),""))</f>
        <v/>
      </c>
      <c r="E89" s="10"/>
      <c r="F89" s="16"/>
      <c r="G89" s="12"/>
      <c r="H89" s="11"/>
      <c r="I89" s="15" t="str">
        <f aca="false">IF(OR(B89="",E89=""),"",IF(COUNTIFS(Seances!$A:$A,E89,Seances!$B:$B,F89,Seances!$C:$C,D89)=0,"Séance à créer dans Seances","OK"))</f>
        <v/>
      </c>
      <c r="J89" s="11"/>
      <c r="K89" s="11"/>
    </row>
    <row r="90" customFormat="false" ht="15" hidden="false" customHeight="false" outlineLevel="0" collapsed="false">
      <c r="A90" s="10"/>
      <c r="B90" s="11"/>
      <c r="C90" s="15" t="str">
        <f aca="false">IF(B90="","",IFERROR(INDEX(Achats!$C:$C,MATCH(B90,Achats!$B:$B,0)),"N° inconnu dans Achats"))</f>
        <v/>
      </c>
      <c r="D90" s="15" t="str">
        <f aca="false">IF(B90="","",IFERROR(INDEX(Achats!$F:$F,MATCH(B90,Achats!$B:$B,0)),""))</f>
        <v/>
      </c>
      <c r="E90" s="10"/>
      <c r="F90" s="16"/>
      <c r="G90" s="12"/>
      <c r="H90" s="11"/>
      <c r="I90" s="15" t="str">
        <f aca="false">IF(OR(B90="",E90=""),"",IF(COUNTIFS(Seances!$A:$A,E90,Seances!$B:$B,F90,Seances!$C:$C,D90)=0,"Séance à créer dans Seances","OK"))</f>
        <v/>
      </c>
      <c r="J90" s="11"/>
      <c r="K90" s="11"/>
    </row>
    <row r="91" customFormat="false" ht="15" hidden="false" customHeight="false" outlineLevel="0" collapsed="false">
      <c r="A91" s="10"/>
      <c r="B91" s="11"/>
      <c r="C91" s="15" t="str">
        <f aca="false">IF(B91="","",IFERROR(INDEX(Achats!$C:$C,MATCH(B91,Achats!$B:$B,0)),"N° inconnu dans Achats"))</f>
        <v/>
      </c>
      <c r="D91" s="15" t="str">
        <f aca="false">IF(B91="","",IFERROR(INDEX(Achats!$F:$F,MATCH(B91,Achats!$B:$B,0)),""))</f>
        <v/>
      </c>
      <c r="E91" s="10"/>
      <c r="F91" s="16"/>
      <c r="G91" s="12"/>
      <c r="H91" s="11"/>
      <c r="I91" s="15" t="str">
        <f aca="false">IF(OR(B91="",E91=""),"",IF(COUNTIFS(Seances!$A:$A,E91,Seances!$B:$B,F91,Seances!$C:$C,D91)=0,"Séance à créer dans Seances","OK"))</f>
        <v/>
      </c>
      <c r="J91" s="11"/>
      <c r="K91" s="11"/>
    </row>
    <row r="92" customFormat="false" ht="15" hidden="false" customHeight="false" outlineLevel="0" collapsed="false">
      <c r="A92" s="10"/>
      <c r="B92" s="11"/>
      <c r="C92" s="15" t="str">
        <f aca="false">IF(B92="","",IFERROR(INDEX(Achats!$C:$C,MATCH(B92,Achats!$B:$B,0)),"N° inconnu dans Achats"))</f>
        <v/>
      </c>
      <c r="D92" s="15" t="str">
        <f aca="false">IF(B92="","",IFERROR(INDEX(Achats!$F:$F,MATCH(B92,Achats!$B:$B,0)),""))</f>
        <v/>
      </c>
      <c r="E92" s="10"/>
      <c r="F92" s="16"/>
      <c r="G92" s="12"/>
      <c r="H92" s="11"/>
      <c r="I92" s="15" t="str">
        <f aca="false">IF(OR(B92="",E92=""),"",IF(COUNTIFS(Seances!$A:$A,E92,Seances!$B:$B,F92,Seances!$C:$C,D92)=0,"Séance à créer dans Seances","OK"))</f>
        <v/>
      </c>
      <c r="J92" s="11"/>
      <c r="K92" s="11"/>
    </row>
    <row r="93" customFormat="false" ht="15" hidden="false" customHeight="false" outlineLevel="0" collapsed="false">
      <c r="A93" s="10"/>
      <c r="B93" s="11"/>
      <c r="C93" s="15" t="str">
        <f aca="false">IF(B93="","",IFERROR(INDEX(Achats!$C:$C,MATCH(B93,Achats!$B:$B,0)),"N° inconnu dans Achats"))</f>
        <v/>
      </c>
      <c r="D93" s="15" t="str">
        <f aca="false">IF(B93="","",IFERROR(INDEX(Achats!$F:$F,MATCH(B93,Achats!$B:$B,0)),""))</f>
        <v/>
      </c>
      <c r="E93" s="10"/>
      <c r="F93" s="16"/>
      <c r="G93" s="12"/>
      <c r="H93" s="11"/>
      <c r="I93" s="15" t="str">
        <f aca="false">IF(OR(B93="",E93=""),"",IF(COUNTIFS(Seances!$A:$A,E93,Seances!$B:$B,F93,Seances!$C:$C,D93)=0,"Séance à créer dans Seances","OK"))</f>
        <v/>
      </c>
      <c r="J93" s="11"/>
      <c r="K93" s="11"/>
    </row>
    <row r="94" customFormat="false" ht="15" hidden="false" customHeight="false" outlineLevel="0" collapsed="false">
      <c r="A94" s="10"/>
      <c r="B94" s="11"/>
      <c r="C94" s="15" t="str">
        <f aca="false">IF(B94="","",IFERROR(INDEX(Achats!$C:$C,MATCH(B94,Achats!$B:$B,0)),"N° inconnu dans Achats"))</f>
        <v/>
      </c>
      <c r="D94" s="15" t="str">
        <f aca="false">IF(B94="","",IFERROR(INDEX(Achats!$F:$F,MATCH(B94,Achats!$B:$B,0)),""))</f>
        <v/>
      </c>
      <c r="E94" s="10"/>
      <c r="F94" s="16"/>
      <c r="G94" s="12"/>
      <c r="H94" s="11"/>
      <c r="I94" s="15" t="str">
        <f aca="false">IF(OR(B94="",E94=""),"",IF(COUNTIFS(Seances!$A:$A,E94,Seances!$B:$B,F94,Seances!$C:$C,D94)=0,"Séance à créer dans Seances","OK"))</f>
        <v/>
      </c>
      <c r="J94" s="11"/>
      <c r="K94" s="11"/>
    </row>
    <row r="95" customFormat="false" ht="15" hidden="false" customHeight="false" outlineLevel="0" collapsed="false">
      <c r="A95" s="10"/>
      <c r="B95" s="11"/>
      <c r="C95" s="15" t="str">
        <f aca="false">IF(B95="","",IFERROR(INDEX(Achats!$C:$C,MATCH(B95,Achats!$B:$B,0)),"N° inconnu dans Achats"))</f>
        <v/>
      </c>
      <c r="D95" s="15" t="str">
        <f aca="false">IF(B95="","",IFERROR(INDEX(Achats!$F:$F,MATCH(B95,Achats!$B:$B,0)),""))</f>
        <v/>
      </c>
      <c r="E95" s="10"/>
      <c r="F95" s="16"/>
      <c r="G95" s="12"/>
      <c r="H95" s="11"/>
      <c r="I95" s="15" t="str">
        <f aca="false">IF(OR(B95="",E95=""),"",IF(COUNTIFS(Seances!$A:$A,E95,Seances!$B:$B,F95,Seances!$C:$C,D95)=0,"Séance à créer dans Seances","OK"))</f>
        <v/>
      </c>
      <c r="J95" s="11"/>
      <c r="K95" s="11"/>
    </row>
    <row r="96" customFormat="false" ht="15" hidden="false" customHeight="false" outlineLevel="0" collapsed="false">
      <c r="A96" s="10"/>
      <c r="B96" s="11"/>
      <c r="C96" s="15" t="str">
        <f aca="false">IF(B96="","",IFERROR(INDEX(Achats!$C:$C,MATCH(B96,Achats!$B:$B,0)),"N° inconnu dans Achats"))</f>
        <v/>
      </c>
      <c r="D96" s="15" t="str">
        <f aca="false">IF(B96="","",IFERROR(INDEX(Achats!$F:$F,MATCH(B96,Achats!$B:$B,0)),""))</f>
        <v/>
      </c>
      <c r="E96" s="10"/>
      <c r="F96" s="16"/>
      <c r="G96" s="12"/>
      <c r="H96" s="11"/>
      <c r="I96" s="15" t="str">
        <f aca="false">IF(OR(B96="",E96=""),"",IF(COUNTIFS(Seances!$A:$A,E96,Seances!$B:$B,F96,Seances!$C:$C,D96)=0,"Séance à créer dans Seances","OK"))</f>
        <v/>
      </c>
      <c r="J96" s="11"/>
      <c r="K96" s="11"/>
    </row>
    <row r="97" customFormat="false" ht="15" hidden="false" customHeight="false" outlineLevel="0" collapsed="false">
      <c r="A97" s="10"/>
      <c r="B97" s="11"/>
      <c r="C97" s="15" t="str">
        <f aca="false">IF(B97="","",IFERROR(INDEX(Achats!$C:$C,MATCH(B97,Achats!$B:$B,0)),"N° inconnu dans Achats"))</f>
        <v/>
      </c>
      <c r="D97" s="15" t="str">
        <f aca="false">IF(B97="","",IFERROR(INDEX(Achats!$F:$F,MATCH(B97,Achats!$B:$B,0)),""))</f>
        <v/>
      </c>
      <c r="E97" s="10"/>
      <c r="F97" s="16"/>
      <c r="G97" s="12"/>
      <c r="H97" s="11"/>
      <c r="I97" s="15" t="str">
        <f aca="false">IF(OR(B97="",E97=""),"",IF(COUNTIFS(Seances!$A:$A,E97,Seances!$B:$B,F97,Seances!$C:$C,D97)=0,"Séance à créer dans Seances","OK"))</f>
        <v/>
      </c>
      <c r="J97" s="11"/>
      <c r="K97" s="11"/>
    </row>
    <row r="98" customFormat="false" ht="15" hidden="false" customHeight="false" outlineLevel="0" collapsed="false">
      <c r="A98" s="10"/>
      <c r="B98" s="11"/>
      <c r="C98" s="15" t="str">
        <f aca="false">IF(B98="","",IFERROR(INDEX(Achats!$C:$C,MATCH(B98,Achats!$B:$B,0)),"N° inconnu dans Achats"))</f>
        <v/>
      </c>
      <c r="D98" s="15" t="str">
        <f aca="false">IF(B98="","",IFERROR(INDEX(Achats!$F:$F,MATCH(B98,Achats!$B:$B,0)),""))</f>
        <v/>
      </c>
      <c r="E98" s="10"/>
      <c r="F98" s="16"/>
      <c r="G98" s="12"/>
      <c r="H98" s="11"/>
      <c r="I98" s="15" t="str">
        <f aca="false">IF(OR(B98="",E98=""),"",IF(COUNTIFS(Seances!$A:$A,E98,Seances!$B:$B,F98,Seances!$C:$C,D98)=0,"Séance à créer dans Seances","OK"))</f>
        <v/>
      </c>
      <c r="J98" s="11"/>
      <c r="K98" s="11"/>
    </row>
    <row r="99" customFormat="false" ht="15" hidden="false" customHeight="false" outlineLevel="0" collapsed="false">
      <c r="A99" s="10"/>
      <c r="B99" s="11"/>
      <c r="C99" s="15" t="str">
        <f aca="false">IF(B99="","",IFERROR(INDEX(Achats!$C:$C,MATCH(B99,Achats!$B:$B,0)),"N° inconnu dans Achats"))</f>
        <v/>
      </c>
      <c r="D99" s="15" t="str">
        <f aca="false">IF(B99="","",IFERROR(INDEX(Achats!$F:$F,MATCH(B99,Achats!$B:$B,0)),""))</f>
        <v/>
      </c>
      <c r="E99" s="10"/>
      <c r="F99" s="16"/>
      <c r="G99" s="12"/>
      <c r="H99" s="11"/>
      <c r="I99" s="15" t="str">
        <f aca="false">IF(OR(B99="",E99=""),"",IF(COUNTIFS(Seances!$A:$A,E99,Seances!$B:$B,F99,Seances!$C:$C,D99)=0,"Séance à créer dans Seances","OK"))</f>
        <v/>
      </c>
      <c r="J99" s="11"/>
      <c r="K99" s="11"/>
    </row>
    <row r="100" customFormat="false" ht="15" hidden="false" customHeight="false" outlineLevel="0" collapsed="false">
      <c r="A100" s="10"/>
      <c r="B100" s="11"/>
      <c r="C100" s="15" t="str">
        <f aca="false">IF(B100="","",IFERROR(INDEX(Achats!$C:$C,MATCH(B100,Achats!$B:$B,0)),"N° inconnu dans Achats"))</f>
        <v/>
      </c>
      <c r="D100" s="15" t="str">
        <f aca="false">IF(B100="","",IFERROR(INDEX(Achats!$F:$F,MATCH(B100,Achats!$B:$B,0)),""))</f>
        <v/>
      </c>
      <c r="E100" s="10"/>
      <c r="F100" s="16"/>
      <c r="G100" s="12"/>
      <c r="H100" s="11"/>
      <c r="I100" s="15" t="str">
        <f aca="false">IF(OR(B100="",E100=""),"",IF(COUNTIFS(Seances!$A:$A,E100,Seances!$B:$B,F100,Seances!$C:$C,D100)=0,"Séance à créer dans Seances","OK"))</f>
        <v/>
      </c>
      <c r="J100" s="11"/>
      <c r="K100" s="11"/>
    </row>
    <row r="101" customFormat="false" ht="15" hidden="false" customHeight="false" outlineLevel="0" collapsed="false">
      <c r="A101" s="10"/>
      <c r="B101" s="11"/>
      <c r="C101" s="15" t="str">
        <f aca="false">IF(B101="","",IFERROR(INDEX(Achats!$C:$C,MATCH(B101,Achats!$B:$B,0)),"N° inconnu dans Achats"))</f>
        <v/>
      </c>
      <c r="D101" s="15" t="str">
        <f aca="false">IF(B101="","",IFERROR(INDEX(Achats!$F:$F,MATCH(B101,Achats!$B:$B,0)),""))</f>
        <v/>
      </c>
      <c r="E101" s="10"/>
      <c r="F101" s="16"/>
      <c r="G101" s="12"/>
      <c r="H101" s="11"/>
      <c r="I101" s="15" t="str">
        <f aca="false">IF(OR(B101="",E101=""),"",IF(COUNTIFS(Seances!$A:$A,E101,Seances!$B:$B,F101,Seances!$C:$C,D101)=0,"Séance à créer dans Seances","OK"))</f>
        <v/>
      </c>
      <c r="J101" s="11"/>
      <c r="K101" s="11"/>
    </row>
    <row r="102" customFormat="false" ht="15" hidden="false" customHeight="false" outlineLevel="0" collapsed="false">
      <c r="A102" s="10"/>
      <c r="B102" s="11"/>
      <c r="C102" s="15" t="str">
        <f aca="false">IF(B102="","",IFERROR(INDEX(Achats!$C:$C,MATCH(B102,Achats!$B:$B,0)),"N° inconnu dans Achats"))</f>
        <v/>
      </c>
      <c r="D102" s="15" t="str">
        <f aca="false">IF(B102="","",IFERROR(INDEX(Achats!$F:$F,MATCH(B102,Achats!$B:$B,0)),""))</f>
        <v/>
      </c>
      <c r="E102" s="10"/>
      <c r="F102" s="16"/>
      <c r="G102" s="12"/>
      <c r="H102" s="11"/>
      <c r="I102" s="15" t="str">
        <f aca="false">IF(OR(B102="",E102=""),"",IF(COUNTIFS(Seances!$A:$A,E102,Seances!$B:$B,F102,Seances!$C:$C,D102)=0,"Séance à créer dans Seances","OK"))</f>
        <v/>
      </c>
      <c r="J102" s="11"/>
      <c r="K102" s="11"/>
    </row>
    <row r="103" customFormat="false" ht="15" hidden="false" customHeight="false" outlineLevel="0" collapsed="false">
      <c r="A103" s="10"/>
      <c r="B103" s="11"/>
      <c r="C103" s="15" t="str">
        <f aca="false">IF(B103="","",IFERROR(INDEX(Achats!$C:$C,MATCH(B103,Achats!$B:$B,0)),"N° inconnu dans Achats"))</f>
        <v/>
      </c>
      <c r="D103" s="15" t="str">
        <f aca="false">IF(B103="","",IFERROR(INDEX(Achats!$F:$F,MATCH(B103,Achats!$B:$B,0)),""))</f>
        <v/>
      </c>
      <c r="E103" s="10"/>
      <c r="F103" s="16"/>
      <c r="G103" s="12"/>
      <c r="H103" s="11"/>
      <c r="I103" s="15" t="str">
        <f aca="false">IF(OR(B103="",E103=""),"",IF(COUNTIFS(Seances!$A:$A,E103,Seances!$B:$B,F103,Seances!$C:$C,D103)=0,"Séance à créer dans Seances","OK"))</f>
        <v/>
      </c>
      <c r="J103" s="11"/>
      <c r="K103" s="11"/>
    </row>
    <row r="104" customFormat="false" ht="15" hidden="false" customHeight="false" outlineLevel="0" collapsed="false">
      <c r="A104" s="10"/>
      <c r="B104" s="11"/>
      <c r="C104" s="15" t="str">
        <f aca="false">IF(B104="","",IFERROR(INDEX(Achats!$C:$C,MATCH(B104,Achats!$B:$B,0)),"N° inconnu dans Achats"))</f>
        <v/>
      </c>
      <c r="D104" s="15" t="str">
        <f aca="false">IF(B104="","",IFERROR(INDEX(Achats!$F:$F,MATCH(B104,Achats!$B:$B,0)),""))</f>
        <v/>
      </c>
      <c r="E104" s="10"/>
      <c r="F104" s="16"/>
      <c r="G104" s="12"/>
      <c r="H104" s="11"/>
      <c r="I104" s="15" t="str">
        <f aca="false">IF(OR(B104="",E104=""),"",IF(COUNTIFS(Seances!$A:$A,E104,Seances!$B:$B,F104,Seances!$C:$C,D104)=0,"Séance à créer dans Seances","OK"))</f>
        <v/>
      </c>
      <c r="J104" s="11"/>
      <c r="K104" s="11"/>
    </row>
    <row r="105" customFormat="false" ht="15" hidden="false" customHeight="false" outlineLevel="0" collapsed="false">
      <c r="A105" s="10"/>
      <c r="B105" s="11"/>
      <c r="C105" s="15" t="str">
        <f aca="false">IF(B105="","",IFERROR(INDEX(Achats!$C:$C,MATCH(B105,Achats!$B:$B,0)),"N° inconnu dans Achats"))</f>
        <v/>
      </c>
      <c r="D105" s="15" t="str">
        <f aca="false">IF(B105="","",IFERROR(INDEX(Achats!$F:$F,MATCH(B105,Achats!$B:$B,0)),""))</f>
        <v/>
      </c>
      <c r="E105" s="10"/>
      <c r="F105" s="16"/>
      <c r="G105" s="12"/>
      <c r="H105" s="11"/>
      <c r="I105" s="15" t="str">
        <f aca="false">IF(OR(B105="",E105=""),"",IF(COUNTIFS(Seances!$A:$A,E105,Seances!$B:$B,F105,Seances!$C:$C,D105)=0,"Séance à créer dans Seances","OK"))</f>
        <v/>
      </c>
      <c r="J105" s="11"/>
      <c r="K105" s="11"/>
    </row>
    <row r="106" customFormat="false" ht="15" hidden="false" customHeight="false" outlineLevel="0" collapsed="false">
      <c r="A106" s="10"/>
      <c r="B106" s="11"/>
      <c r="C106" s="15" t="str">
        <f aca="false">IF(B106="","",IFERROR(INDEX(Achats!$C:$C,MATCH(B106,Achats!$B:$B,0)),"N° inconnu dans Achats"))</f>
        <v/>
      </c>
      <c r="D106" s="15" t="str">
        <f aca="false">IF(B106="","",IFERROR(INDEX(Achats!$F:$F,MATCH(B106,Achats!$B:$B,0)),""))</f>
        <v/>
      </c>
      <c r="E106" s="10"/>
      <c r="F106" s="16"/>
      <c r="G106" s="12"/>
      <c r="H106" s="11"/>
      <c r="I106" s="15" t="str">
        <f aca="false">IF(OR(B106="",E106=""),"",IF(COUNTIFS(Seances!$A:$A,E106,Seances!$B:$B,F106,Seances!$C:$C,D106)=0,"Séance à créer dans Seances","OK"))</f>
        <v/>
      </c>
      <c r="J106" s="11"/>
      <c r="K106" s="11"/>
    </row>
    <row r="107" customFormat="false" ht="15" hidden="false" customHeight="false" outlineLevel="0" collapsed="false">
      <c r="A107" s="10"/>
      <c r="B107" s="11"/>
      <c r="C107" s="15" t="str">
        <f aca="false">IF(B107="","",IFERROR(INDEX(Achats!$C:$C,MATCH(B107,Achats!$B:$B,0)),"N° inconnu dans Achats"))</f>
        <v/>
      </c>
      <c r="D107" s="15" t="str">
        <f aca="false">IF(B107="","",IFERROR(INDEX(Achats!$F:$F,MATCH(B107,Achats!$B:$B,0)),""))</f>
        <v/>
      </c>
      <c r="E107" s="10"/>
      <c r="F107" s="16"/>
      <c r="G107" s="12"/>
      <c r="H107" s="11"/>
      <c r="I107" s="15" t="str">
        <f aca="false">IF(OR(B107="",E107=""),"",IF(COUNTIFS(Seances!$A:$A,E107,Seances!$B:$B,F107,Seances!$C:$C,D107)=0,"Séance à créer dans Seances","OK"))</f>
        <v/>
      </c>
      <c r="J107" s="11"/>
      <c r="K107" s="11"/>
    </row>
    <row r="108" customFormat="false" ht="15" hidden="false" customHeight="false" outlineLevel="0" collapsed="false">
      <c r="A108" s="10"/>
      <c r="B108" s="11"/>
      <c r="C108" s="15" t="str">
        <f aca="false">IF(B108="","",IFERROR(INDEX(Achats!$C:$C,MATCH(B108,Achats!$B:$B,0)),"N° inconnu dans Achats"))</f>
        <v/>
      </c>
      <c r="D108" s="15" t="str">
        <f aca="false">IF(B108="","",IFERROR(INDEX(Achats!$F:$F,MATCH(B108,Achats!$B:$B,0)),""))</f>
        <v/>
      </c>
      <c r="E108" s="10"/>
      <c r="F108" s="16"/>
      <c r="G108" s="12"/>
      <c r="H108" s="11"/>
      <c r="I108" s="15" t="str">
        <f aca="false">IF(OR(B108="",E108=""),"",IF(COUNTIFS(Seances!$A:$A,E108,Seances!$B:$B,F108,Seances!$C:$C,D108)=0,"Séance à créer dans Seances","OK"))</f>
        <v/>
      </c>
      <c r="J108" s="11"/>
      <c r="K108" s="11"/>
    </row>
    <row r="109" customFormat="false" ht="15" hidden="false" customHeight="false" outlineLevel="0" collapsed="false">
      <c r="A109" s="10"/>
      <c r="B109" s="11"/>
      <c r="C109" s="15" t="str">
        <f aca="false">IF(B109="","",IFERROR(INDEX(Achats!$C:$C,MATCH(B109,Achats!$B:$B,0)),"N° inconnu dans Achats"))</f>
        <v/>
      </c>
      <c r="D109" s="15" t="str">
        <f aca="false">IF(B109="","",IFERROR(INDEX(Achats!$F:$F,MATCH(B109,Achats!$B:$B,0)),""))</f>
        <v/>
      </c>
      <c r="E109" s="10"/>
      <c r="F109" s="16"/>
      <c r="G109" s="12"/>
      <c r="H109" s="11"/>
      <c r="I109" s="15" t="str">
        <f aca="false">IF(OR(B109="",E109=""),"",IF(COUNTIFS(Seances!$A:$A,E109,Seances!$B:$B,F109,Seances!$C:$C,D109)=0,"Séance à créer dans Seances","OK"))</f>
        <v/>
      </c>
      <c r="J109" s="11"/>
      <c r="K109" s="11"/>
    </row>
    <row r="110" customFormat="false" ht="15" hidden="false" customHeight="false" outlineLevel="0" collapsed="false">
      <c r="A110" s="10"/>
      <c r="B110" s="11"/>
      <c r="C110" s="15" t="str">
        <f aca="false">IF(B110="","",IFERROR(INDEX(Achats!$C:$C,MATCH(B110,Achats!$B:$B,0)),"N° inconnu dans Achats"))</f>
        <v/>
      </c>
      <c r="D110" s="15" t="str">
        <f aca="false">IF(B110="","",IFERROR(INDEX(Achats!$F:$F,MATCH(B110,Achats!$B:$B,0)),""))</f>
        <v/>
      </c>
      <c r="E110" s="10"/>
      <c r="F110" s="16"/>
      <c r="G110" s="12"/>
      <c r="H110" s="11"/>
      <c r="I110" s="15" t="str">
        <f aca="false">IF(OR(B110="",E110=""),"",IF(COUNTIFS(Seances!$A:$A,E110,Seances!$B:$B,F110,Seances!$C:$C,D110)=0,"Séance à créer dans Seances","OK"))</f>
        <v/>
      </c>
      <c r="J110" s="11"/>
      <c r="K110" s="11"/>
    </row>
    <row r="111" customFormat="false" ht="15" hidden="false" customHeight="false" outlineLevel="0" collapsed="false">
      <c r="A111" s="10"/>
      <c r="B111" s="11"/>
      <c r="C111" s="15" t="str">
        <f aca="false">IF(B111="","",IFERROR(INDEX(Achats!$C:$C,MATCH(B111,Achats!$B:$B,0)),"N° inconnu dans Achats"))</f>
        <v/>
      </c>
      <c r="D111" s="15" t="str">
        <f aca="false">IF(B111="","",IFERROR(INDEX(Achats!$F:$F,MATCH(B111,Achats!$B:$B,0)),""))</f>
        <v/>
      </c>
      <c r="E111" s="10"/>
      <c r="F111" s="16"/>
      <c r="G111" s="12"/>
      <c r="H111" s="11"/>
      <c r="I111" s="15" t="str">
        <f aca="false">IF(OR(B111="",E111=""),"",IF(COUNTIFS(Seances!$A:$A,E111,Seances!$B:$B,F111,Seances!$C:$C,D111)=0,"Séance à créer dans Seances","OK"))</f>
        <v/>
      </c>
      <c r="J111" s="11"/>
      <c r="K111" s="11"/>
    </row>
    <row r="112" customFormat="false" ht="15" hidden="false" customHeight="false" outlineLevel="0" collapsed="false">
      <c r="A112" s="10"/>
      <c r="B112" s="11"/>
      <c r="C112" s="15" t="str">
        <f aca="false">IF(B112="","",IFERROR(INDEX(Achats!$C:$C,MATCH(B112,Achats!$B:$B,0)),"N° inconnu dans Achats"))</f>
        <v/>
      </c>
      <c r="D112" s="15" t="str">
        <f aca="false">IF(B112="","",IFERROR(INDEX(Achats!$F:$F,MATCH(B112,Achats!$B:$B,0)),""))</f>
        <v/>
      </c>
      <c r="E112" s="10"/>
      <c r="F112" s="16"/>
      <c r="G112" s="12"/>
      <c r="H112" s="11"/>
      <c r="I112" s="15" t="str">
        <f aca="false">IF(OR(B112="",E112=""),"",IF(COUNTIFS(Seances!$A:$A,E112,Seances!$B:$B,F112,Seances!$C:$C,D112)=0,"Séance à créer dans Seances","OK"))</f>
        <v/>
      </c>
      <c r="J112" s="11"/>
      <c r="K112" s="11"/>
    </row>
    <row r="113" customFormat="false" ht="15" hidden="false" customHeight="false" outlineLevel="0" collapsed="false">
      <c r="A113" s="10"/>
      <c r="B113" s="11"/>
      <c r="C113" s="15" t="str">
        <f aca="false">IF(B113="","",IFERROR(INDEX(Achats!$C:$C,MATCH(B113,Achats!$B:$B,0)),"N° inconnu dans Achats"))</f>
        <v/>
      </c>
      <c r="D113" s="15" t="str">
        <f aca="false">IF(B113="","",IFERROR(INDEX(Achats!$F:$F,MATCH(B113,Achats!$B:$B,0)),""))</f>
        <v/>
      </c>
      <c r="E113" s="10"/>
      <c r="F113" s="16"/>
      <c r="G113" s="12"/>
      <c r="H113" s="11"/>
      <c r="I113" s="15" t="str">
        <f aca="false">IF(OR(B113="",E113=""),"",IF(COUNTIFS(Seances!$A:$A,E113,Seances!$B:$B,F113,Seances!$C:$C,D113)=0,"Séance à créer dans Seances","OK"))</f>
        <v/>
      </c>
      <c r="J113" s="11"/>
      <c r="K113" s="11"/>
    </row>
    <row r="114" customFormat="false" ht="15" hidden="false" customHeight="false" outlineLevel="0" collapsed="false">
      <c r="A114" s="10"/>
      <c r="B114" s="11"/>
      <c r="C114" s="15" t="str">
        <f aca="false">IF(B114="","",IFERROR(INDEX(Achats!$C:$C,MATCH(B114,Achats!$B:$B,0)),"N° inconnu dans Achats"))</f>
        <v/>
      </c>
      <c r="D114" s="15" t="str">
        <f aca="false">IF(B114="","",IFERROR(INDEX(Achats!$F:$F,MATCH(B114,Achats!$B:$B,0)),""))</f>
        <v/>
      </c>
      <c r="E114" s="10"/>
      <c r="F114" s="16"/>
      <c r="G114" s="12"/>
      <c r="H114" s="11"/>
      <c r="I114" s="15" t="str">
        <f aca="false">IF(OR(B114="",E114=""),"",IF(COUNTIFS(Seances!$A:$A,E114,Seances!$B:$B,F114,Seances!$C:$C,D114)=0,"Séance à créer dans Seances","OK"))</f>
        <v/>
      </c>
      <c r="J114" s="11"/>
      <c r="K114" s="11"/>
    </row>
    <row r="115" customFormat="false" ht="15" hidden="false" customHeight="false" outlineLevel="0" collapsed="false">
      <c r="A115" s="10"/>
      <c r="B115" s="11"/>
      <c r="C115" s="15" t="str">
        <f aca="false">IF(B115="","",IFERROR(INDEX(Achats!$C:$C,MATCH(B115,Achats!$B:$B,0)),"N° inconnu dans Achats"))</f>
        <v/>
      </c>
      <c r="D115" s="15" t="str">
        <f aca="false">IF(B115="","",IFERROR(INDEX(Achats!$F:$F,MATCH(B115,Achats!$B:$B,0)),""))</f>
        <v/>
      </c>
      <c r="E115" s="10"/>
      <c r="F115" s="16"/>
      <c r="G115" s="12"/>
      <c r="H115" s="11"/>
      <c r="I115" s="15" t="str">
        <f aca="false">IF(OR(B115="",E115=""),"",IF(COUNTIFS(Seances!$A:$A,E115,Seances!$B:$B,F115,Seances!$C:$C,D115)=0,"Séance à créer dans Seances","OK"))</f>
        <v/>
      </c>
      <c r="J115" s="11"/>
      <c r="K115" s="11"/>
    </row>
    <row r="116" customFormat="false" ht="15" hidden="false" customHeight="false" outlineLevel="0" collapsed="false">
      <c r="A116" s="10"/>
      <c r="B116" s="11"/>
      <c r="C116" s="15" t="str">
        <f aca="false">IF(B116="","",IFERROR(INDEX(Achats!$C:$C,MATCH(B116,Achats!$B:$B,0)),"N° inconnu dans Achats"))</f>
        <v/>
      </c>
      <c r="D116" s="15" t="str">
        <f aca="false">IF(B116="","",IFERROR(INDEX(Achats!$F:$F,MATCH(B116,Achats!$B:$B,0)),""))</f>
        <v/>
      </c>
      <c r="E116" s="10"/>
      <c r="F116" s="16"/>
      <c r="G116" s="12"/>
      <c r="H116" s="11"/>
      <c r="I116" s="15" t="str">
        <f aca="false">IF(OR(B116="",E116=""),"",IF(COUNTIFS(Seances!$A:$A,E116,Seances!$B:$B,F116,Seances!$C:$C,D116)=0,"Séance à créer dans Seances","OK"))</f>
        <v/>
      </c>
      <c r="J116" s="11"/>
      <c r="K116" s="11"/>
    </row>
    <row r="117" customFormat="false" ht="15" hidden="false" customHeight="false" outlineLevel="0" collapsed="false">
      <c r="A117" s="10"/>
      <c r="B117" s="11"/>
      <c r="C117" s="15" t="str">
        <f aca="false">IF(B117="","",IFERROR(INDEX(Achats!$C:$C,MATCH(B117,Achats!$B:$B,0)),"N° inconnu dans Achats"))</f>
        <v/>
      </c>
      <c r="D117" s="15" t="str">
        <f aca="false">IF(B117="","",IFERROR(INDEX(Achats!$F:$F,MATCH(B117,Achats!$B:$B,0)),""))</f>
        <v/>
      </c>
      <c r="E117" s="10"/>
      <c r="F117" s="16"/>
      <c r="G117" s="12"/>
      <c r="H117" s="11"/>
      <c r="I117" s="15" t="str">
        <f aca="false">IF(OR(B117="",E117=""),"",IF(COUNTIFS(Seances!$A:$A,E117,Seances!$B:$B,F117,Seances!$C:$C,D117)=0,"Séance à créer dans Seances","OK"))</f>
        <v/>
      </c>
      <c r="J117" s="11"/>
      <c r="K117" s="11"/>
    </row>
    <row r="118" customFormat="false" ht="15" hidden="false" customHeight="false" outlineLevel="0" collapsed="false">
      <c r="A118" s="10"/>
      <c r="B118" s="11"/>
      <c r="C118" s="15" t="str">
        <f aca="false">IF(B118="","",IFERROR(INDEX(Achats!$C:$C,MATCH(B118,Achats!$B:$B,0)),"N° inconnu dans Achats"))</f>
        <v/>
      </c>
      <c r="D118" s="15" t="str">
        <f aca="false">IF(B118="","",IFERROR(INDEX(Achats!$F:$F,MATCH(B118,Achats!$B:$B,0)),""))</f>
        <v/>
      </c>
      <c r="E118" s="10"/>
      <c r="F118" s="16"/>
      <c r="G118" s="12"/>
      <c r="H118" s="11"/>
      <c r="I118" s="15" t="str">
        <f aca="false">IF(OR(B118="",E118=""),"",IF(COUNTIFS(Seances!$A:$A,E118,Seances!$B:$B,F118,Seances!$C:$C,D118)=0,"Séance à créer dans Seances","OK"))</f>
        <v/>
      </c>
      <c r="J118" s="11"/>
      <c r="K118" s="11"/>
    </row>
    <row r="119" customFormat="false" ht="15" hidden="false" customHeight="false" outlineLevel="0" collapsed="false">
      <c r="A119" s="10"/>
      <c r="B119" s="11"/>
      <c r="C119" s="15" t="str">
        <f aca="false">IF(B119="","",IFERROR(INDEX(Achats!$C:$C,MATCH(B119,Achats!$B:$B,0)),"N° inconnu dans Achats"))</f>
        <v/>
      </c>
      <c r="D119" s="15" t="str">
        <f aca="false">IF(B119="","",IFERROR(INDEX(Achats!$F:$F,MATCH(B119,Achats!$B:$B,0)),""))</f>
        <v/>
      </c>
      <c r="E119" s="10"/>
      <c r="F119" s="16"/>
      <c r="G119" s="12"/>
      <c r="H119" s="11"/>
      <c r="I119" s="15" t="str">
        <f aca="false">IF(OR(B119="",E119=""),"",IF(COUNTIFS(Seances!$A:$A,E119,Seances!$B:$B,F119,Seances!$C:$C,D119)=0,"Séance à créer dans Seances","OK"))</f>
        <v/>
      </c>
      <c r="J119" s="11"/>
      <c r="K119" s="11"/>
    </row>
    <row r="120" customFormat="false" ht="15" hidden="false" customHeight="false" outlineLevel="0" collapsed="false">
      <c r="A120" s="10"/>
      <c r="B120" s="11"/>
      <c r="C120" s="15" t="str">
        <f aca="false">IF(B120="","",IFERROR(INDEX(Achats!$C:$C,MATCH(B120,Achats!$B:$B,0)),"N° inconnu dans Achats"))</f>
        <v/>
      </c>
      <c r="D120" s="15" t="str">
        <f aca="false">IF(B120="","",IFERROR(INDEX(Achats!$F:$F,MATCH(B120,Achats!$B:$B,0)),""))</f>
        <v/>
      </c>
      <c r="E120" s="10"/>
      <c r="F120" s="16"/>
      <c r="G120" s="12"/>
      <c r="H120" s="11"/>
      <c r="I120" s="15" t="str">
        <f aca="false">IF(OR(B120="",E120=""),"",IF(COUNTIFS(Seances!$A:$A,E120,Seances!$B:$B,F120,Seances!$C:$C,D120)=0,"Séance à créer dans Seances","OK"))</f>
        <v/>
      </c>
      <c r="J120" s="11"/>
      <c r="K120" s="11"/>
    </row>
    <row r="121" customFormat="false" ht="15" hidden="false" customHeight="false" outlineLevel="0" collapsed="false">
      <c r="A121" s="10"/>
      <c r="B121" s="11"/>
      <c r="C121" s="15" t="str">
        <f aca="false">IF(B121="","",IFERROR(INDEX(Achats!$C:$C,MATCH(B121,Achats!$B:$B,0)),"N° inconnu dans Achats"))</f>
        <v/>
      </c>
      <c r="D121" s="15" t="str">
        <f aca="false">IF(B121="","",IFERROR(INDEX(Achats!$F:$F,MATCH(B121,Achats!$B:$B,0)),""))</f>
        <v/>
      </c>
      <c r="E121" s="10"/>
      <c r="F121" s="16"/>
      <c r="G121" s="12"/>
      <c r="H121" s="11"/>
      <c r="I121" s="15" t="str">
        <f aca="false">IF(OR(B121="",E121=""),"",IF(COUNTIFS(Seances!$A:$A,E121,Seances!$B:$B,F121,Seances!$C:$C,D121)=0,"Séance à créer dans Seances","OK"))</f>
        <v/>
      </c>
      <c r="J121" s="11"/>
      <c r="K121" s="11"/>
    </row>
    <row r="122" customFormat="false" ht="15" hidden="false" customHeight="false" outlineLevel="0" collapsed="false">
      <c r="A122" s="10"/>
      <c r="B122" s="11"/>
      <c r="C122" s="15" t="str">
        <f aca="false">IF(B122="","",IFERROR(INDEX(Achats!$C:$C,MATCH(B122,Achats!$B:$B,0)),"N° inconnu dans Achats"))</f>
        <v/>
      </c>
      <c r="D122" s="15" t="str">
        <f aca="false">IF(B122="","",IFERROR(INDEX(Achats!$F:$F,MATCH(B122,Achats!$B:$B,0)),""))</f>
        <v/>
      </c>
      <c r="E122" s="10"/>
      <c r="F122" s="16"/>
      <c r="G122" s="12"/>
      <c r="H122" s="11"/>
      <c r="I122" s="15" t="str">
        <f aca="false">IF(OR(B122="",E122=""),"",IF(COUNTIFS(Seances!$A:$A,E122,Seances!$B:$B,F122,Seances!$C:$C,D122)=0,"Séance à créer dans Seances","OK"))</f>
        <v/>
      </c>
      <c r="J122" s="11"/>
      <c r="K122" s="11"/>
    </row>
    <row r="123" customFormat="false" ht="15" hidden="false" customHeight="false" outlineLevel="0" collapsed="false">
      <c r="A123" s="10"/>
      <c r="B123" s="11"/>
      <c r="C123" s="15" t="str">
        <f aca="false">IF(B123="","",IFERROR(INDEX(Achats!$C:$C,MATCH(B123,Achats!$B:$B,0)),"N° inconnu dans Achats"))</f>
        <v/>
      </c>
      <c r="D123" s="15" t="str">
        <f aca="false">IF(B123="","",IFERROR(INDEX(Achats!$F:$F,MATCH(B123,Achats!$B:$B,0)),""))</f>
        <v/>
      </c>
      <c r="E123" s="10"/>
      <c r="F123" s="16"/>
      <c r="G123" s="12"/>
      <c r="H123" s="11"/>
      <c r="I123" s="15" t="str">
        <f aca="false">IF(OR(B123="",E123=""),"",IF(COUNTIFS(Seances!$A:$A,E123,Seances!$B:$B,F123,Seances!$C:$C,D123)=0,"Séance à créer dans Seances","OK"))</f>
        <v/>
      </c>
      <c r="J123" s="11"/>
      <c r="K123" s="11"/>
    </row>
    <row r="124" customFormat="false" ht="15" hidden="false" customHeight="false" outlineLevel="0" collapsed="false">
      <c r="A124" s="10"/>
      <c r="B124" s="11"/>
      <c r="C124" s="15" t="str">
        <f aca="false">IF(B124="","",IFERROR(INDEX(Achats!$C:$C,MATCH(B124,Achats!$B:$B,0)),"N° inconnu dans Achats"))</f>
        <v/>
      </c>
      <c r="D124" s="15" t="str">
        <f aca="false">IF(B124="","",IFERROR(INDEX(Achats!$F:$F,MATCH(B124,Achats!$B:$B,0)),""))</f>
        <v/>
      </c>
      <c r="E124" s="10"/>
      <c r="F124" s="16"/>
      <c r="G124" s="12"/>
      <c r="H124" s="11"/>
      <c r="I124" s="15" t="str">
        <f aca="false">IF(OR(B124="",E124=""),"",IF(COUNTIFS(Seances!$A:$A,E124,Seances!$B:$B,F124,Seances!$C:$C,D124)=0,"Séance à créer dans Seances","OK"))</f>
        <v/>
      </c>
      <c r="J124" s="11"/>
      <c r="K124" s="11"/>
    </row>
    <row r="125" customFormat="false" ht="15" hidden="false" customHeight="false" outlineLevel="0" collapsed="false">
      <c r="A125" s="10"/>
      <c r="B125" s="11"/>
      <c r="C125" s="15" t="str">
        <f aca="false">IF(B125="","",IFERROR(INDEX(Achats!$C:$C,MATCH(B125,Achats!$B:$B,0)),"N° inconnu dans Achats"))</f>
        <v/>
      </c>
      <c r="D125" s="15" t="str">
        <f aca="false">IF(B125="","",IFERROR(INDEX(Achats!$F:$F,MATCH(B125,Achats!$B:$B,0)),""))</f>
        <v/>
      </c>
      <c r="E125" s="10"/>
      <c r="F125" s="16"/>
      <c r="G125" s="12"/>
      <c r="H125" s="11"/>
      <c r="I125" s="15" t="str">
        <f aca="false">IF(OR(B125="",E125=""),"",IF(COUNTIFS(Seances!$A:$A,E125,Seances!$B:$B,F125,Seances!$C:$C,D125)=0,"Séance à créer dans Seances","OK"))</f>
        <v/>
      </c>
      <c r="J125" s="11"/>
      <c r="K125" s="11"/>
    </row>
    <row r="126" customFormat="false" ht="15" hidden="false" customHeight="false" outlineLevel="0" collapsed="false">
      <c r="A126" s="10"/>
      <c r="B126" s="11"/>
      <c r="C126" s="15" t="str">
        <f aca="false">IF(B126="","",IFERROR(INDEX(Achats!$C:$C,MATCH(B126,Achats!$B:$B,0)),"N° inconnu dans Achats"))</f>
        <v/>
      </c>
      <c r="D126" s="15" t="str">
        <f aca="false">IF(B126="","",IFERROR(INDEX(Achats!$F:$F,MATCH(B126,Achats!$B:$B,0)),""))</f>
        <v/>
      </c>
      <c r="E126" s="10"/>
      <c r="F126" s="16"/>
      <c r="G126" s="12"/>
      <c r="H126" s="11"/>
      <c r="I126" s="15" t="str">
        <f aca="false">IF(OR(B126="",E126=""),"",IF(COUNTIFS(Seances!$A:$A,E126,Seances!$B:$B,F126,Seances!$C:$C,D126)=0,"Séance à créer dans Seances","OK"))</f>
        <v/>
      </c>
      <c r="J126" s="11"/>
      <c r="K126" s="11"/>
    </row>
    <row r="127" customFormat="false" ht="15" hidden="false" customHeight="false" outlineLevel="0" collapsed="false">
      <c r="A127" s="10"/>
      <c r="B127" s="11"/>
      <c r="C127" s="15" t="str">
        <f aca="false">IF(B127="","",IFERROR(INDEX(Achats!$C:$C,MATCH(B127,Achats!$B:$B,0)),"N° inconnu dans Achats"))</f>
        <v/>
      </c>
      <c r="D127" s="15" t="str">
        <f aca="false">IF(B127="","",IFERROR(INDEX(Achats!$F:$F,MATCH(B127,Achats!$B:$B,0)),""))</f>
        <v/>
      </c>
      <c r="E127" s="10"/>
      <c r="F127" s="16"/>
      <c r="G127" s="12"/>
      <c r="H127" s="11"/>
      <c r="I127" s="15" t="str">
        <f aca="false">IF(OR(B127="",E127=""),"",IF(COUNTIFS(Seances!$A:$A,E127,Seances!$B:$B,F127,Seances!$C:$C,D127)=0,"Séance à créer dans Seances","OK"))</f>
        <v/>
      </c>
      <c r="J127" s="11"/>
      <c r="K127" s="11"/>
    </row>
    <row r="128" customFormat="false" ht="15" hidden="false" customHeight="false" outlineLevel="0" collapsed="false">
      <c r="A128" s="10"/>
      <c r="B128" s="11"/>
      <c r="C128" s="15" t="str">
        <f aca="false">IF(B128="","",IFERROR(INDEX(Achats!$C:$C,MATCH(B128,Achats!$B:$B,0)),"N° inconnu dans Achats"))</f>
        <v/>
      </c>
      <c r="D128" s="15" t="str">
        <f aca="false">IF(B128="","",IFERROR(INDEX(Achats!$F:$F,MATCH(B128,Achats!$B:$B,0)),""))</f>
        <v/>
      </c>
      <c r="E128" s="10"/>
      <c r="F128" s="16"/>
      <c r="G128" s="12"/>
      <c r="H128" s="11"/>
      <c r="I128" s="15" t="str">
        <f aca="false">IF(OR(B128="",E128=""),"",IF(COUNTIFS(Seances!$A:$A,E128,Seances!$B:$B,F128,Seances!$C:$C,D128)=0,"Séance à créer dans Seances","OK"))</f>
        <v/>
      </c>
      <c r="J128" s="11"/>
      <c r="K128" s="11"/>
    </row>
    <row r="129" customFormat="false" ht="15" hidden="false" customHeight="false" outlineLevel="0" collapsed="false">
      <c r="A129" s="10"/>
      <c r="B129" s="11"/>
      <c r="C129" s="15" t="str">
        <f aca="false">IF(B129="","",IFERROR(INDEX(Achats!$C:$C,MATCH(B129,Achats!$B:$B,0)),"N° inconnu dans Achats"))</f>
        <v/>
      </c>
      <c r="D129" s="15" t="str">
        <f aca="false">IF(B129="","",IFERROR(INDEX(Achats!$F:$F,MATCH(B129,Achats!$B:$B,0)),""))</f>
        <v/>
      </c>
      <c r="E129" s="10"/>
      <c r="F129" s="16"/>
      <c r="G129" s="12"/>
      <c r="H129" s="11"/>
      <c r="I129" s="15" t="str">
        <f aca="false">IF(OR(B129="",E129=""),"",IF(COUNTIFS(Seances!$A:$A,E129,Seances!$B:$B,F129,Seances!$C:$C,D129)=0,"Séance à créer dans Seances","OK"))</f>
        <v/>
      </c>
      <c r="J129" s="11"/>
      <c r="K129" s="11"/>
    </row>
    <row r="130" customFormat="false" ht="15" hidden="false" customHeight="false" outlineLevel="0" collapsed="false">
      <c r="A130" s="10"/>
      <c r="B130" s="11"/>
      <c r="C130" s="15" t="str">
        <f aca="false">IF(B130="","",IFERROR(INDEX(Achats!$C:$C,MATCH(B130,Achats!$B:$B,0)),"N° inconnu dans Achats"))</f>
        <v/>
      </c>
      <c r="D130" s="15" t="str">
        <f aca="false">IF(B130="","",IFERROR(INDEX(Achats!$F:$F,MATCH(B130,Achats!$B:$B,0)),""))</f>
        <v/>
      </c>
      <c r="E130" s="10"/>
      <c r="F130" s="16"/>
      <c r="G130" s="12"/>
      <c r="H130" s="11"/>
      <c r="I130" s="15" t="str">
        <f aca="false">IF(OR(B130="",E130=""),"",IF(COUNTIFS(Seances!$A:$A,E130,Seances!$B:$B,F130,Seances!$C:$C,D130)=0,"Séance à créer dans Seances","OK"))</f>
        <v/>
      </c>
      <c r="J130" s="11"/>
      <c r="K130" s="11"/>
    </row>
    <row r="131" customFormat="false" ht="15" hidden="false" customHeight="false" outlineLevel="0" collapsed="false">
      <c r="A131" s="10"/>
      <c r="B131" s="11"/>
      <c r="C131" s="15" t="str">
        <f aca="false">IF(B131="","",IFERROR(INDEX(Achats!$C:$C,MATCH(B131,Achats!$B:$B,0)),"N° inconnu dans Achats"))</f>
        <v/>
      </c>
      <c r="D131" s="15" t="str">
        <f aca="false">IF(B131="","",IFERROR(INDEX(Achats!$F:$F,MATCH(B131,Achats!$B:$B,0)),""))</f>
        <v/>
      </c>
      <c r="E131" s="10"/>
      <c r="F131" s="16"/>
      <c r="G131" s="12"/>
      <c r="H131" s="11"/>
      <c r="I131" s="15" t="str">
        <f aca="false">IF(OR(B131="",E131=""),"",IF(COUNTIFS(Seances!$A:$A,E131,Seances!$B:$B,F131,Seances!$C:$C,D131)=0,"Séance à créer dans Seances","OK"))</f>
        <v/>
      </c>
      <c r="J131" s="11"/>
      <c r="K131" s="11"/>
    </row>
    <row r="132" customFormat="false" ht="15" hidden="false" customHeight="false" outlineLevel="0" collapsed="false">
      <c r="A132" s="10"/>
      <c r="B132" s="11"/>
      <c r="C132" s="15" t="str">
        <f aca="false">IF(B132="","",IFERROR(INDEX(Achats!$C:$C,MATCH(B132,Achats!$B:$B,0)),"N° inconnu dans Achats"))</f>
        <v/>
      </c>
      <c r="D132" s="15" t="str">
        <f aca="false">IF(B132="","",IFERROR(INDEX(Achats!$F:$F,MATCH(B132,Achats!$B:$B,0)),""))</f>
        <v/>
      </c>
      <c r="E132" s="10"/>
      <c r="F132" s="16"/>
      <c r="G132" s="12"/>
      <c r="H132" s="11"/>
      <c r="I132" s="15" t="str">
        <f aca="false">IF(OR(B132="",E132=""),"",IF(COUNTIFS(Seances!$A:$A,E132,Seances!$B:$B,F132,Seances!$C:$C,D132)=0,"Séance à créer dans Seances","OK"))</f>
        <v/>
      </c>
      <c r="J132" s="11"/>
      <c r="K132" s="11"/>
    </row>
    <row r="133" customFormat="false" ht="15" hidden="false" customHeight="false" outlineLevel="0" collapsed="false">
      <c r="A133" s="10"/>
      <c r="B133" s="11"/>
      <c r="C133" s="15" t="str">
        <f aca="false">IF(B133="","",IFERROR(INDEX(Achats!$C:$C,MATCH(B133,Achats!$B:$B,0)),"N° inconnu dans Achats"))</f>
        <v/>
      </c>
      <c r="D133" s="15" t="str">
        <f aca="false">IF(B133="","",IFERROR(INDEX(Achats!$F:$F,MATCH(B133,Achats!$B:$B,0)),""))</f>
        <v/>
      </c>
      <c r="E133" s="10"/>
      <c r="F133" s="16"/>
      <c r="G133" s="12"/>
      <c r="H133" s="11"/>
      <c r="I133" s="15" t="str">
        <f aca="false">IF(OR(B133="",E133=""),"",IF(COUNTIFS(Seances!$A:$A,E133,Seances!$B:$B,F133,Seances!$C:$C,D133)=0,"Séance à créer dans Seances","OK"))</f>
        <v/>
      </c>
      <c r="J133" s="11"/>
      <c r="K133" s="11"/>
    </row>
    <row r="134" customFormat="false" ht="15" hidden="false" customHeight="false" outlineLevel="0" collapsed="false">
      <c r="A134" s="10"/>
      <c r="B134" s="11"/>
      <c r="C134" s="15" t="str">
        <f aca="false">IF(B134="","",IFERROR(INDEX(Achats!$C:$C,MATCH(B134,Achats!$B:$B,0)),"N° inconnu dans Achats"))</f>
        <v/>
      </c>
      <c r="D134" s="15" t="str">
        <f aca="false">IF(B134="","",IFERROR(INDEX(Achats!$F:$F,MATCH(B134,Achats!$B:$B,0)),""))</f>
        <v/>
      </c>
      <c r="E134" s="10"/>
      <c r="F134" s="16"/>
      <c r="G134" s="12"/>
      <c r="H134" s="11"/>
      <c r="I134" s="15" t="str">
        <f aca="false">IF(OR(B134="",E134=""),"",IF(COUNTIFS(Seances!$A:$A,E134,Seances!$B:$B,F134,Seances!$C:$C,D134)=0,"Séance à créer dans Seances","OK"))</f>
        <v/>
      </c>
      <c r="J134" s="11"/>
      <c r="K134" s="11"/>
    </row>
    <row r="135" customFormat="false" ht="15" hidden="false" customHeight="false" outlineLevel="0" collapsed="false">
      <c r="A135" s="10"/>
      <c r="B135" s="11"/>
      <c r="C135" s="15" t="str">
        <f aca="false">IF(B135="","",IFERROR(INDEX(Achats!$C:$C,MATCH(B135,Achats!$B:$B,0)),"N° inconnu dans Achats"))</f>
        <v/>
      </c>
      <c r="D135" s="15" t="str">
        <f aca="false">IF(B135="","",IFERROR(INDEX(Achats!$F:$F,MATCH(B135,Achats!$B:$B,0)),""))</f>
        <v/>
      </c>
      <c r="E135" s="10"/>
      <c r="F135" s="16"/>
      <c r="G135" s="12"/>
      <c r="H135" s="11"/>
      <c r="I135" s="15" t="str">
        <f aca="false">IF(OR(B135="",E135=""),"",IF(COUNTIFS(Seances!$A:$A,E135,Seances!$B:$B,F135,Seances!$C:$C,D135)=0,"Séance à créer dans Seances","OK"))</f>
        <v/>
      </c>
      <c r="J135" s="11"/>
      <c r="K135" s="11"/>
    </row>
    <row r="136" customFormat="false" ht="15" hidden="false" customHeight="false" outlineLevel="0" collapsed="false">
      <c r="A136" s="10"/>
      <c r="B136" s="11"/>
      <c r="C136" s="15" t="str">
        <f aca="false">IF(B136="","",IFERROR(INDEX(Achats!$C:$C,MATCH(B136,Achats!$B:$B,0)),"N° inconnu dans Achats"))</f>
        <v/>
      </c>
      <c r="D136" s="15" t="str">
        <f aca="false">IF(B136="","",IFERROR(INDEX(Achats!$F:$F,MATCH(B136,Achats!$B:$B,0)),""))</f>
        <v/>
      </c>
      <c r="E136" s="10"/>
      <c r="F136" s="16"/>
      <c r="G136" s="12"/>
      <c r="H136" s="11"/>
      <c r="I136" s="15" t="str">
        <f aca="false">IF(OR(B136="",E136=""),"",IF(COUNTIFS(Seances!$A:$A,E136,Seances!$B:$B,F136,Seances!$C:$C,D136)=0,"Séance à créer dans Seances","OK"))</f>
        <v/>
      </c>
      <c r="J136" s="11"/>
      <c r="K136" s="11"/>
    </row>
    <row r="137" customFormat="false" ht="15" hidden="false" customHeight="false" outlineLevel="0" collapsed="false">
      <c r="A137" s="10"/>
      <c r="B137" s="11"/>
      <c r="C137" s="15" t="str">
        <f aca="false">IF(B137="","",IFERROR(INDEX(Achats!$C:$C,MATCH(B137,Achats!$B:$B,0)),"N° inconnu dans Achats"))</f>
        <v/>
      </c>
      <c r="D137" s="15" t="str">
        <f aca="false">IF(B137="","",IFERROR(INDEX(Achats!$F:$F,MATCH(B137,Achats!$B:$B,0)),""))</f>
        <v/>
      </c>
      <c r="E137" s="10"/>
      <c r="F137" s="16"/>
      <c r="G137" s="12"/>
      <c r="H137" s="11"/>
      <c r="I137" s="15" t="str">
        <f aca="false">IF(OR(B137="",E137=""),"",IF(COUNTIFS(Seances!$A:$A,E137,Seances!$B:$B,F137,Seances!$C:$C,D137)=0,"Séance à créer dans Seances","OK"))</f>
        <v/>
      </c>
      <c r="J137" s="11"/>
      <c r="K137" s="11"/>
    </row>
    <row r="138" customFormat="false" ht="15" hidden="false" customHeight="false" outlineLevel="0" collapsed="false">
      <c r="A138" s="10"/>
      <c r="B138" s="11"/>
      <c r="C138" s="15" t="str">
        <f aca="false">IF(B138="","",IFERROR(INDEX(Achats!$C:$C,MATCH(B138,Achats!$B:$B,0)),"N° inconnu dans Achats"))</f>
        <v/>
      </c>
      <c r="D138" s="15" t="str">
        <f aca="false">IF(B138="","",IFERROR(INDEX(Achats!$F:$F,MATCH(B138,Achats!$B:$B,0)),""))</f>
        <v/>
      </c>
      <c r="E138" s="10"/>
      <c r="F138" s="16"/>
      <c r="G138" s="12"/>
      <c r="H138" s="11"/>
      <c r="I138" s="15" t="str">
        <f aca="false">IF(OR(B138="",E138=""),"",IF(COUNTIFS(Seances!$A:$A,E138,Seances!$B:$B,F138,Seances!$C:$C,D138)=0,"Séance à créer dans Seances","OK"))</f>
        <v/>
      </c>
      <c r="J138" s="11"/>
      <c r="K138" s="11"/>
    </row>
    <row r="139" customFormat="false" ht="15" hidden="false" customHeight="false" outlineLevel="0" collapsed="false">
      <c r="A139" s="10"/>
      <c r="B139" s="11"/>
      <c r="C139" s="15" t="str">
        <f aca="false">IF(B139="","",IFERROR(INDEX(Achats!$C:$C,MATCH(B139,Achats!$B:$B,0)),"N° inconnu dans Achats"))</f>
        <v/>
      </c>
      <c r="D139" s="15" t="str">
        <f aca="false">IF(B139="","",IFERROR(INDEX(Achats!$F:$F,MATCH(B139,Achats!$B:$B,0)),""))</f>
        <v/>
      </c>
      <c r="E139" s="10"/>
      <c r="F139" s="16"/>
      <c r="G139" s="12"/>
      <c r="H139" s="11"/>
      <c r="I139" s="15" t="str">
        <f aca="false">IF(OR(B139="",E139=""),"",IF(COUNTIFS(Seances!$A:$A,E139,Seances!$B:$B,F139,Seances!$C:$C,D139)=0,"Séance à créer dans Seances","OK"))</f>
        <v/>
      </c>
      <c r="J139" s="11"/>
      <c r="K139" s="11"/>
    </row>
    <row r="140" customFormat="false" ht="15" hidden="false" customHeight="false" outlineLevel="0" collapsed="false">
      <c r="A140" s="10"/>
      <c r="B140" s="11"/>
      <c r="C140" s="15" t="str">
        <f aca="false">IF(B140="","",IFERROR(INDEX(Achats!$C:$C,MATCH(B140,Achats!$B:$B,0)),"N° inconnu dans Achats"))</f>
        <v/>
      </c>
      <c r="D140" s="15" t="str">
        <f aca="false">IF(B140="","",IFERROR(INDEX(Achats!$F:$F,MATCH(B140,Achats!$B:$B,0)),""))</f>
        <v/>
      </c>
      <c r="E140" s="10"/>
      <c r="F140" s="16"/>
      <c r="G140" s="12"/>
      <c r="H140" s="11"/>
      <c r="I140" s="15" t="str">
        <f aca="false">IF(OR(B140="",E140=""),"",IF(COUNTIFS(Seances!$A:$A,E140,Seances!$B:$B,F140,Seances!$C:$C,D140)=0,"Séance à créer dans Seances","OK"))</f>
        <v/>
      </c>
      <c r="J140" s="11"/>
      <c r="K140" s="11"/>
    </row>
    <row r="141" customFormat="false" ht="15" hidden="false" customHeight="false" outlineLevel="0" collapsed="false">
      <c r="A141" s="10"/>
      <c r="B141" s="11"/>
      <c r="C141" s="15" t="str">
        <f aca="false">IF(B141="","",IFERROR(INDEX(Achats!$C:$C,MATCH(B141,Achats!$B:$B,0)),"N° inconnu dans Achats"))</f>
        <v/>
      </c>
      <c r="D141" s="15" t="str">
        <f aca="false">IF(B141="","",IFERROR(INDEX(Achats!$F:$F,MATCH(B141,Achats!$B:$B,0)),""))</f>
        <v/>
      </c>
      <c r="E141" s="10"/>
      <c r="F141" s="16"/>
      <c r="G141" s="12"/>
      <c r="H141" s="11"/>
      <c r="I141" s="15" t="str">
        <f aca="false">IF(OR(B141="",E141=""),"",IF(COUNTIFS(Seances!$A:$A,E141,Seances!$B:$B,F141,Seances!$C:$C,D141)=0,"Séance à créer dans Seances","OK"))</f>
        <v/>
      </c>
      <c r="J141" s="11"/>
      <c r="K141" s="11"/>
    </row>
    <row r="142" customFormat="false" ht="15" hidden="false" customHeight="false" outlineLevel="0" collapsed="false">
      <c r="A142" s="10"/>
      <c r="B142" s="11"/>
      <c r="C142" s="15" t="str">
        <f aca="false">IF(B142="","",IFERROR(INDEX(Achats!$C:$C,MATCH(B142,Achats!$B:$B,0)),"N° inconnu dans Achats"))</f>
        <v/>
      </c>
      <c r="D142" s="15" t="str">
        <f aca="false">IF(B142="","",IFERROR(INDEX(Achats!$F:$F,MATCH(B142,Achats!$B:$B,0)),""))</f>
        <v/>
      </c>
      <c r="E142" s="10"/>
      <c r="F142" s="16"/>
      <c r="G142" s="12"/>
      <c r="H142" s="11"/>
      <c r="I142" s="15" t="str">
        <f aca="false">IF(OR(B142="",E142=""),"",IF(COUNTIFS(Seances!$A:$A,E142,Seances!$B:$B,F142,Seances!$C:$C,D142)=0,"Séance à créer dans Seances","OK"))</f>
        <v/>
      </c>
      <c r="J142" s="11"/>
      <c r="K142" s="11"/>
    </row>
    <row r="143" customFormat="false" ht="15" hidden="false" customHeight="false" outlineLevel="0" collapsed="false">
      <c r="A143" s="10"/>
      <c r="B143" s="11"/>
      <c r="C143" s="15" t="str">
        <f aca="false">IF(B143="","",IFERROR(INDEX(Achats!$C:$C,MATCH(B143,Achats!$B:$B,0)),"N° inconnu dans Achats"))</f>
        <v/>
      </c>
      <c r="D143" s="15" t="str">
        <f aca="false">IF(B143="","",IFERROR(INDEX(Achats!$F:$F,MATCH(B143,Achats!$B:$B,0)),""))</f>
        <v/>
      </c>
      <c r="E143" s="10"/>
      <c r="F143" s="16"/>
      <c r="G143" s="12"/>
      <c r="H143" s="11"/>
      <c r="I143" s="15" t="str">
        <f aca="false">IF(OR(B143="",E143=""),"",IF(COUNTIFS(Seances!$A:$A,E143,Seances!$B:$B,F143,Seances!$C:$C,D143)=0,"Séance à créer dans Seances","OK"))</f>
        <v/>
      </c>
      <c r="J143" s="11"/>
      <c r="K143" s="11"/>
    </row>
    <row r="144" customFormat="false" ht="15" hidden="false" customHeight="false" outlineLevel="0" collapsed="false">
      <c r="A144" s="10"/>
      <c r="B144" s="11"/>
      <c r="C144" s="15" t="str">
        <f aca="false">IF(B144="","",IFERROR(INDEX(Achats!$C:$C,MATCH(B144,Achats!$B:$B,0)),"N° inconnu dans Achats"))</f>
        <v/>
      </c>
      <c r="D144" s="15" t="str">
        <f aca="false">IF(B144="","",IFERROR(INDEX(Achats!$F:$F,MATCH(B144,Achats!$B:$B,0)),""))</f>
        <v/>
      </c>
      <c r="E144" s="10"/>
      <c r="F144" s="16"/>
      <c r="G144" s="12"/>
      <c r="H144" s="11"/>
      <c r="I144" s="15" t="str">
        <f aca="false">IF(OR(B144="",E144=""),"",IF(COUNTIFS(Seances!$A:$A,E144,Seances!$B:$B,F144,Seances!$C:$C,D144)=0,"Séance à créer dans Seances","OK"))</f>
        <v/>
      </c>
      <c r="J144" s="11"/>
      <c r="K144" s="11"/>
    </row>
    <row r="145" customFormat="false" ht="15" hidden="false" customHeight="false" outlineLevel="0" collapsed="false">
      <c r="A145" s="10"/>
      <c r="B145" s="11"/>
      <c r="C145" s="15" t="str">
        <f aca="false">IF(B145="","",IFERROR(INDEX(Achats!$C:$C,MATCH(B145,Achats!$B:$B,0)),"N° inconnu dans Achats"))</f>
        <v/>
      </c>
      <c r="D145" s="15" t="str">
        <f aca="false">IF(B145="","",IFERROR(INDEX(Achats!$F:$F,MATCH(B145,Achats!$B:$B,0)),""))</f>
        <v/>
      </c>
      <c r="E145" s="10"/>
      <c r="F145" s="16"/>
      <c r="G145" s="12"/>
      <c r="H145" s="11"/>
      <c r="I145" s="15" t="str">
        <f aca="false">IF(OR(B145="",E145=""),"",IF(COUNTIFS(Seances!$A:$A,E145,Seances!$B:$B,F145,Seances!$C:$C,D145)=0,"Séance à créer dans Seances","OK"))</f>
        <v/>
      </c>
      <c r="J145" s="11"/>
      <c r="K145" s="11"/>
    </row>
    <row r="146" customFormat="false" ht="15" hidden="false" customHeight="false" outlineLevel="0" collapsed="false">
      <c r="A146" s="10"/>
      <c r="B146" s="11"/>
      <c r="C146" s="15" t="str">
        <f aca="false">IF(B146="","",IFERROR(INDEX(Achats!$C:$C,MATCH(B146,Achats!$B:$B,0)),"N° inconnu dans Achats"))</f>
        <v/>
      </c>
      <c r="D146" s="15" t="str">
        <f aca="false">IF(B146="","",IFERROR(INDEX(Achats!$F:$F,MATCH(B146,Achats!$B:$B,0)),""))</f>
        <v/>
      </c>
      <c r="E146" s="10"/>
      <c r="F146" s="16"/>
      <c r="G146" s="12"/>
      <c r="H146" s="11"/>
      <c r="I146" s="15" t="str">
        <f aca="false">IF(OR(B146="",E146=""),"",IF(COUNTIFS(Seances!$A:$A,E146,Seances!$B:$B,F146,Seances!$C:$C,D146)=0,"Séance à créer dans Seances","OK"))</f>
        <v/>
      </c>
      <c r="J146" s="11"/>
      <c r="K146" s="11"/>
    </row>
    <row r="147" customFormat="false" ht="15" hidden="false" customHeight="false" outlineLevel="0" collapsed="false">
      <c r="A147" s="10"/>
      <c r="B147" s="11"/>
      <c r="C147" s="15" t="str">
        <f aca="false">IF(B147="","",IFERROR(INDEX(Achats!$C:$C,MATCH(B147,Achats!$B:$B,0)),"N° inconnu dans Achats"))</f>
        <v/>
      </c>
      <c r="D147" s="15" t="str">
        <f aca="false">IF(B147="","",IFERROR(INDEX(Achats!$F:$F,MATCH(B147,Achats!$B:$B,0)),""))</f>
        <v/>
      </c>
      <c r="E147" s="10"/>
      <c r="F147" s="16"/>
      <c r="G147" s="12"/>
      <c r="H147" s="11"/>
      <c r="I147" s="15" t="str">
        <f aca="false">IF(OR(B147="",E147=""),"",IF(COUNTIFS(Seances!$A:$A,E147,Seances!$B:$B,F147,Seances!$C:$C,D147)=0,"Séance à créer dans Seances","OK"))</f>
        <v/>
      </c>
      <c r="J147" s="11"/>
      <c r="K147" s="11"/>
    </row>
    <row r="148" customFormat="false" ht="15" hidden="false" customHeight="false" outlineLevel="0" collapsed="false">
      <c r="A148" s="10"/>
      <c r="B148" s="11"/>
      <c r="C148" s="15" t="str">
        <f aca="false">IF(B148="","",IFERROR(INDEX(Achats!$C:$C,MATCH(B148,Achats!$B:$B,0)),"N° inconnu dans Achats"))</f>
        <v/>
      </c>
      <c r="D148" s="15" t="str">
        <f aca="false">IF(B148="","",IFERROR(INDEX(Achats!$F:$F,MATCH(B148,Achats!$B:$B,0)),""))</f>
        <v/>
      </c>
      <c r="E148" s="10"/>
      <c r="F148" s="16"/>
      <c r="G148" s="12"/>
      <c r="H148" s="11"/>
      <c r="I148" s="15" t="str">
        <f aca="false">IF(OR(B148="",E148=""),"",IF(COUNTIFS(Seances!$A:$A,E148,Seances!$B:$B,F148,Seances!$C:$C,D148)=0,"Séance à créer dans Seances","OK"))</f>
        <v/>
      </c>
      <c r="J148" s="11"/>
      <c r="K148" s="11"/>
    </row>
    <row r="149" customFormat="false" ht="15" hidden="false" customHeight="false" outlineLevel="0" collapsed="false">
      <c r="A149" s="10"/>
      <c r="B149" s="11"/>
      <c r="C149" s="15" t="str">
        <f aca="false">IF(B149="","",IFERROR(INDEX(Achats!$C:$C,MATCH(B149,Achats!$B:$B,0)),"N° inconnu dans Achats"))</f>
        <v/>
      </c>
      <c r="D149" s="15" t="str">
        <f aca="false">IF(B149="","",IFERROR(INDEX(Achats!$F:$F,MATCH(B149,Achats!$B:$B,0)),""))</f>
        <v/>
      </c>
      <c r="E149" s="10"/>
      <c r="F149" s="16"/>
      <c r="G149" s="12"/>
      <c r="H149" s="11"/>
      <c r="I149" s="15" t="str">
        <f aca="false">IF(OR(B149="",E149=""),"",IF(COUNTIFS(Seances!$A:$A,E149,Seances!$B:$B,F149,Seances!$C:$C,D149)=0,"Séance à créer dans Seances","OK"))</f>
        <v/>
      </c>
      <c r="J149" s="11"/>
      <c r="K149" s="11"/>
    </row>
    <row r="150" customFormat="false" ht="15" hidden="false" customHeight="false" outlineLevel="0" collapsed="false">
      <c r="A150" s="10"/>
      <c r="B150" s="11"/>
      <c r="C150" s="15" t="str">
        <f aca="false">IF(B150="","",IFERROR(INDEX(Achats!$C:$C,MATCH(B150,Achats!$B:$B,0)),"N° inconnu dans Achats"))</f>
        <v/>
      </c>
      <c r="D150" s="15" t="str">
        <f aca="false">IF(B150="","",IFERROR(INDEX(Achats!$F:$F,MATCH(B150,Achats!$B:$B,0)),""))</f>
        <v/>
      </c>
      <c r="E150" s="10"/>
      <c r="F150" s="16"/>
      <c r="G150" s="12"/>
      <c r="H150" s="11"/>
      <c r="I150" s="15" t="str">
        <f aca="false">IF(OR(B150="",E150=""),"",IF(COUNTIFS(Seances!$A:$A,E150,Seances!$B:$B,F150,Seances!$C:$C,D150)=0,"Séance à créer dans Seances","OK"))</f>
        <v/>
      </c>
      <c r="J150" s="11"/>
      <c r="K150" s="11"/>
    </row>
    <row r="151" customFormat="false" ht="15" hidden="false" customHeight="false" outlineLevel="0" collapsed="false">
      <c r="A151" s="10"/>
      <c r="B151" s="11"/>
      <c r="C151" s="15" t="str">
        <f aca="false">IF(B151="","",IFERROR(INDEX(Achats!$C:$C,MATCH(B151,Achats!$B:$B,0)),"N° inconnu dans Achats"))</f>
        <v/>
      </c>
      <c r="D151" s="15" t="str">
        <f aca="false">IF(B151="","",IFERROR(INDEX(Achats!$F:$F,MATCH(B151,Achats!$B:$B,0)),""))</f>
        <v/>
      </c>
      <c r="E151" s="10"/>
      <c r="F151" s="16"/>
      <c r="G151" s="12"/>
      <c r="H151" s="11"/>
      <c r="I151" s="15" t="str">
        <f aca="false">IF(OR(B151="",E151=""),"",IF(COUNTIFS(Seances!$A:$A,E151,Seances!$B:$B,F151,Seances!$C:$C,D151)=0,"Séance à créer dans Seances","OK"))</f>
        <v/>
      </c>
      <c r="J151" s="11"/>
      <c r="K151" s="11"/>
    </row>
    <row r="152" customFormat="false" ht="15" hidden="false" customHeight="false" outlineLevel="0" collapsed="false">
      <c r="A152" s="10"/>
      <c r="B152" s="11"/>
      <c r="C152" s="15" t="str">
        <f aca="false">IF(B152="","",IFERROR(INDEX(Achats!$C:$C,MATCH(B152,Achats!$B:$B,0)),"N° inconnu dans Achats"))</f>
        <v/>
      </c>
      <c r="D152" s="15" t="str">
        <f aca="false">IF(B152="","",IFERROR(INDEX(Achats!$F:$F,MATCH(B152,Achats!$B:$B,0)),""))</f>
        <v/>
      </c>
      <c r="E152" s="10"/>
      <c r="F152" s="16"/>
      <c r="G152" s="12"/>
      <c r="H152" s="11"/>
      <c r="I152" s="15" t="str">
        <f aca="false">IF(OR(B152="",E152=""),"",IF(COUNTIFS(Seances!$A:$A,E152,Seances!$B:$B,F152,Seances!$C:$C,D152)=0,"Séance à créer dans Seances","OK"))</f>
        <v/>
      </c>
      <c r="J152" s="11"/>
      <c r="K152" s="11"/>
    </row>
    <row r="153" customFormat="false" ht="15" hidden="false" customHeight="false" outlineLevel="0" collapsed="false">
      <c r="A153" s="10"/>
      <c r="B153" s="11"/>
      <c r="C153" s="15" t="str">
        <f aca="false">IF(B153="","",IFERROR(INDEX(Achats!$C:$C,MATCH(B153,Achats!$B:$B,0)),"N° inconnu dans Achats"))</f>
        <v/>
      </c>
      <c r="D153" s="15" t="str">
        <f aca="false">IF(B153="","",IFERROR(INDEX(Achats!$F:$F,MATCH(B153,Achats!$B:$B,0)),""))</f>
        <v/>
      </c>
      <c r="E153" s="10"/>
      <c r="F153" s="16"/>
      <c r="G153" s="12"/>
      <c r="H153" s="11"/>
      <c r="I153" s="15" t="str">
        <f aca="false">IF(OR(B153="",E153=""),"",IF(COUNTIFS(Seances!$A:$A,E153,Seances!$B:$B,F153,Seances!$C:$C,D153)=0,"Séance à créer dans Seances","OK"))</f>
        <v/>
      </c>
      <c r="J153" s="11"/>
      <c r="K153" s="11"/>
    </row>
    <row r="154" customFormat="false" ht="15" hidden="false" customHeight="false" outlineLevel="0" collapsed="false">
      <c r="A154" s="10"/>
      <c r="B154" s="11"/>
      <c r="C154" s="15" t="str">
        <f aca="false">IF(B154="","",IFERROR(INDEX(Achats!$C:$C,MATCH(B154,Achats!$B:$B,0)),"N° inconnu dans Achats"))</f>
        <v/>
      </c>
      <c r="D154" s="15" t="str">
        <f aca="false">IF(B154="","",IFERROR(INDEX(Achats!$F:$F,MATCH(B154,Achats!$B:$B,0)),""))</f>
        <v/>
      </c>
      <c r="E154" s="10"/>
      <c r="F154" s="16"/>
      <c r="G154" s="12"/>
      <c r="H154" s="11"/>
      <c r="I154" s="15" t="str">
        <f aca="false">IF(OR(B154="",E154=""),"",IF(COUNTIFS(Seances!$A:$A,E154,Seances!$B:$B,F154,Seances!$C:$C,D154)=0,"Séance à créer dans Seances","OK"))</f>
        <v/>
      </c>
      <c r="J154" s="11"/>
      <c r="K154" s="11"/>
    </row>
    <row r="155" customFormat="false" ht="15" hidden="false" customHeight="false" outlineLevel="0" collapsed="false">
      <c r="A155" s="10"/>
      <c r="B155" s="11"/>
      <c r="C155" s="15" t="str">
        <f aca="false">IF(B155="","",IFERROR(INDEX(Achats!$C:$C,MATCH(B155,Achats!$B:$B,0)),"N° inconnu dans Achats"))</f>
        <v/>
      </c>
      <c r="D155" s="15" t="str">
        <f aca="false">IF(B155="","",IFERROR(INDEX(Achats!$F:$F,MATCH(B155,Achats!$B:$B,0)),""))</f>
        <v/>
      </c>
      <c r="E155" s="10"/>
      <c r="F155" s="16"/>
      <c r="G155" s="12"/>
      <c r="H155" s="11"/>
      <c r="I155" s="15" t="str">
        <f aca="false">IF(OR(B155="",E155=""),"",IF(COUNTIFS(Seances!$A:$A,E155,Seances!$B:$B,F155,Seances!$C:$C,D155)=0,"Séance à créer dans Seances","OK"))</f>
        <v/>
      </c>
      <c r="J155" s="11"/>
      <c r="K155" s="11"/>
    </row>
    <row r="156" customFormat="false" ht="15" hidden="false" customHeight="false" outlineLevel="0" collapsed="false">
      <c r="A156" s="10"/>
      <c r="B156" s="11"/>
      <c r="C156" s="15" t="str">
        <f aca="false">IF(B156="","",IFERROR(INDEX(Achats!$C:$C,MATCH(B156,Achats!$B:$B,0)),"N° inconnu dans Achats"))</f>
        <v/>
      </c>
      <c r="D156" s="15" t="str">
        <f aca="false">IF(B156="","",IFERROR(INDEX(Achats!$F:$F,MATCH(B156,Achats!$B:$B,0)),""))</f>
        <v/>
      </c>
      <c r="E156" s="10"/>
      <c r="F156" s="16"/>
      <c r="G156" s="12"/>
      <c r="H156" s="11"/>
      <c r="I156" s="15" t="str">
        <f aca="false">IF(OR(B156="",E156=""),"",IF(COUNTIFS(Seances!$A:$A,E156,Seances!$B:$B,F156,Seances!$C:$C,D156)=0,"Séance à créer dans Seances","OK"))</f>
        <v/>
      </c>
      <c r="J156" s="11"/>
      <c r="K156" s="11"/>
    </row>
    <row r="157" customFormat="false" ht="15" hidden="false" customHeight="false" outlineLevel="0" collapsed="false">
      <c r="A157" s="10"/>
      <c r="B157" s="11"/>
      <c r="C157" s="15" t="str">
        <f aca="false">IF(B157="","",IFERROR(INDEX(Achats!$C:$C,MATCH(B157,Achats!$B:$B,0)),"N° inconnu dans Achats"))</f>
        <v/>
      </c>
      <c r="D157" s="15" t="str">
        <f aca="false">IF(B157="","",IFERROR(INDEX(Achats!$F:$F,MATCH(B157,Achats!$B:$B,0)),""))</f>
        <v/>
      </c>
      <c r="E157" s="10"/>
      <c r="F157" s="16"/>
      <c r="G157" s="12"/>
      <c r="H157" s="11"/>
      <c r="I157" s="15" t="str">
        <f aca="false">IF(OR(B157="",E157=""),"",IF(COUNTIFS(Seances!$A:$A,E157,Seances!$B:$B,F157,Seances!$C:$C,D157)=0,"Séance à créer dans Seances","OK"))</f>
        <v/>
      </c>
      <c r="J157" s="11"/>
      <c r="K157" s="11"/>
    </row>
    <row r="158" customFormat="false" ht="15" hidden="false" customHeight="false" outlineLevel="0" collapsed="false">
      <c r="A158" s="10"/>
      <c r="B158" s="11"/>
      <c r="C158" s="15" t="str">
        <f aca="false">IF(B158="","",IFERROR(INDEX(Achats!$C:$C,MATCH(B158,Achats!$B:$B,0)),"N° inconnu dans Achats"))</f>
        <v/>
      </c>
      <c r="D158" s="15" t="str">
        <f aca="false">IF(B158="","",IFERROR(INDEX(Achats!$F:$F,MATCH(B158,Achats!$B:$B,0)),""))</f>
        <v/>
      </c>
      <c r="E158" s="10"/>
      <c r="F158" s="16"/>
      <c r="G158" s="12"/>
      <c r="H158" s="11"/>
      <c r="I158" s="15" t="str">
        <f aca="false">IF(OR(B158="",E158=""),"",IF(COUNTIFS(Seances!$A:$A,E158,Seances!$B:$B,F158,Seances!$C:$C,D158)=0,"Séance à créer dans Seances","OK"))</f>
        <v/>
      </c>
      <c r="J158" s="11"/>
      <c r="K158" s="11"/>
    </row>
    <row r="159" customFormat="false" ht="15" hidden="false" customHeight="false" outlineLevel="0" collapsed="false">
      <c r="A159" s="10"/>
      <c r="B159" s="11"/>
      <c r="C159" s="15" t="str">
        <f aca="false">IF(B159="","",IFERROR(INDEX(Achats!$C:$C,MATCH(B159,Achats!$B:$B,0)),"N° inconnu dans Achats"))</f>
        <v/>
      </c>
      <c r="D159" s="15" t="str">
        <f aca="false">IF(B159="","",IFERROR(INDEX(Achats!$F:$F,MATCH(B159,Achats!$B:$B,0)),""))</f>
        <v/>
      </c>
      <c r="E159" s="10"/>
      <c r="F159" s="16"/>
      <c r="G159" s="12"/>
      <c r="H159" s="11"/>
      <c r="I159" s="15" t="str">
        <f aca="false">IF(OR(B159="",E159=""),"",IF(COUNTIFS(Seances!$A:$A,E159,Seances!$B:$B,F159,Seances!$C:$C,D159)=0,"Séance à créer dans Seances","OK"))</f>
        <v/>
      </c>
      <c r="J159" s="11"/>
      <c r="K159" s="11"/>
    </row>
    <row r="160" customFormat="false" ht="15" hidden="false" customHeight="false" outlineLevel="0" collapsed="false">
      <c r="A160" s="10"/>
      <c r="B160" s="11"/>
      <c r="C160" s="15" t="str">
        <f aca="false">IF(B160="","",IFERROR(INDEX(Achats!$C:$C,MATCH(B160,Achats!$B:$B,0)),"N° inconnu dans Achats"))</f>
        <v/>
      </c>
      <c r="D160" s="15" t="str">
        <f aca="false">IF(B160="","",IFERROR(INDEX(Achats!$F:$F,MATCH(B160,Achats!$B:$B,0)),""))</f>
        <v/>
      </c>
      <c r="E160" s="10"/>
      <c r="F160" s="16"/>
      <c r="G160" s="12"/>
      <c r="H160" s="11"/>
      <c r="I160" s="15" t="str">
        <f aca="false">IF(OR(B160="",E160=""),"",IF(COUNTIFS(Seances!$A:$A,E160,Seances!$B:$B,F160,Seances!$C:$C,D160)=0,"Séance à créer dans Seances","OK"))</f>
        <v/>
      </c>
      <c r="J160" s="11"/>
      <c r="K160" s="11"/>
    </row>
    <row r="161" customFormat="false" ht="15" hidden="false" customHeight="false" outlineLevel="0" collapsed="false">
      <c r="A161" s="10"/>
      <c r="B161" s="11"/>
      <c r="C161" s="15" t="str">
        <f aca="false">IF(B161="","",IFERROR(INDEX(Achats!$C:$C,MATCH(B161,Achats!$B:$B,0)),"N° inconnu dans Achats"))</f>
        <v/>
      </c>
      <c r="D161" s="15" t="str">
        <f aca="false">IF(B161="","",IFERROR(INDEX(Achats!$F:$F,MATCH(B161,Achats!$B:$B,0)),""))</f>
        <v/>
      </c>
      <c r="E161" s="10"/>
      <c r="F161" s="16"/>
      <c r="G161" s="12"/>
      <c r="H161" s="11"/>
      <c r="I161" s="15" t="str">
        <f aca="false">IF(OR(B161="",E161=""),"",IF(COUNTIFS(Seances!$A:$A,E161,Seances!$B:$B,F161,Seances!$C:$C,D161)=0,"Séance à créer dans Seances","OK"))</f>
        <v/>
      </c>
      <c r="J161" s="11"/>
      <c r="K161" s="11"/>
    </row>
    <row r="162" customFormat="false" ht="15" hidden="false" customHeight="false" outlineLevel="0" collapsed="false">
      <c r="A162" s="10"/>
      <c r="B162" s="11"/>
      <c r="C162" s="15" t="str">
        <f aca="false">IF(B162="","",IFERROR(INDEX(Achats!$C:$C,MATCH(B162,Achats!$B:$B,0)),"N° inconnu dans Achats"))</f>
        <v/>
      </c>
      <c r="D162" s="15" t="str">
        <f aca="false">IF(B162="","",IFERROR(INDEX(Achats!$F:$F,MATCH(B162,Achats!$B:$B,0)),""))</f>
        <v/>
      </c>
      <c r="E162" s="10"/>
      <c r="F162" s="16"/>
      <c r="G162" s="12"/>
      <c r="H162" s="11"/>
      <c r="I162" s="15" t="str">
        <f aca="false">IF(OR(B162="",E162=""),"",IF(COUNTIFS(Seances!$A:$A,E162,Seances!$B:$B,F162,Seances!$C:$C,D162)=0,"Séance à créer dans Seances","OK"))</f>
        <v/>
      </c>
      <c r="J162" s="11"/>
      <c r="K162" s="11"/>
    </row>
    <row r="163" customFormat="false" ht="15" hidden="false" customHeight="false" outlineLevel="0" collapsed="false">
      <c r="A163" s="10"/>
      <c r="B163" s="11"/>
      <c r="C163" s="15" t="str">
        <f aca="false">IF(B163="","",IFERROR(INDEX(Achats!$C:$C,MATCH(B163,Achats!$B:$B,0)),"N° inconnu dans Achats"))</f>
        <v/>
      </c>
      <c r="D163" s="15" t="str">
        <f aca="false">IF(B163="","",IFERROR(INDEX(Achats!$F:$F,MATCH(B163,Achats!$B:$B,0)),""))</f>
        <v/>
      </c>
      <c r="E163" s="10"/>
      <c r="F163" s="16"/>
      <c r="G163" s="12"/>
      <c r="H163" s="11"/>
      <c r="I163" s="15" t="str">
        <f aca="false">IF(OR(B163="",E163=""),"",IF(COUNTIFS(Seances!$A:$A,E163,Seances!$B:$B,F163,Seances!$C:$C,D163)=0,"Séance à créer dans Seances","OK"))</f>
        <v/>
      </c>
      <c r="J163" s="11"/>
      <c r="K163" s="11"/>
    </row>
    <row r="164" customFormat="false" ht="15" hidden="false" customHeight="false" outlineLevel="0" collapsed="false">
      <c r="A164" s="10"/>
      <c r="B164" s="11"/>
      <c r="C164" s="15" t="str">
        <f aca="false">IF(B164="","",IFERROR(INDEX(Achats!$C:$C,MATCH(B164,Achats!$B:$B,0)),"N° inconnu dans Achats"))</f>
        <v/>
      </c>
      <c r="D164" s="15" t="str">
        <f aca="false">IF(B164="","",IFERROR(INDEX(Achats!$F:$F,MATCH(B164,Achats!$B:$B,0)),""))</f>
        <v/>
      </c>
      <c r="E164" s="10"/>
      <c r="F164" s="16"/>
      <c r="G164" s="12"/>
      <c r="H164" s="11"/>
      <c r="I164" s="15" t="str">
        <f aca="false">IF(OR(B164="",E164=""),"",IF(COUNTIFS(Seances!$A:$A,E164,Seances!$B:$B,F164,Seances!$C:$C,D164)=0,"Séance à créer dans Seances","OK"))</f>
        <v/>
      </c>
      <c r="J164" s="11"/>
      <c r="K164" s="11"/>
    </row>
    <row r="165" customFormat="false" ht="15" hidden="false" customHeight="false" outlineLevel="0" collapsed="false">
      <c r="A165" s="10"/>
      <c r="B165" s="11"/>
      <c r="C165" s="15" t="str">
        <f aca="false">IF(B165="","",IFERROR(INDEX(Achats!$C:$C,MATCH(B165,Achats!$B:$B,0)),"N° inconnu dans Achats"))</f>
        <v/>
      </c>
      <c r="D165" s="15" t="str">
        <f aca="false">IF(B165="","",IFERROR(INDEX(Achats!$F:$F,MATCH(B165,Achats!$B:$B,0)),""))</f>
        <v/>
      </c>
      <c r="E165" s="10"/>
      <c r="F165" s="16"/>
      <c r="G165" s="12"/>
      <c r="H165" s="11"/>
      <c r="I165" s="15" t="str">
        <f aca="false">IF(OR(B165="",E165=""),"",IF(COUNTIFS(Seances!$A:$A,E165,Seances!$B:$B,F165,Seances!$C:$C,D165)=0,"Séance à créer dans Seances","OK"))</f>
        <v/>
      </c>
      <c r="J165" s="11"/>
      <c r="K165" s="11"/>
    </row>
    <row r="166" customFormat="false" ht="15" hidden="false" customHeight="false" outlineLevel="0" collapsed="false">
      <c r="A166" s="10"/>
      <c r="B166" s="11"/>
      <c r="C166" s="15" t="str">
        <f aca="false">IF(B166="","",IFERROR(INDEX(Achats!$C:$C,MATCH(B166,Achats!$B:$B,0)),"N° inconnu dans Achats"))</f>
        <v/>
      </c>
      <c r="D166" s="15" t="str">
        <f aca="false">IF(B166="","",IFERROR(INDEX(Achats!$F:$F,MATCH(B166,Achats!$B:$B,0)),""))</f>
        <v/>
      </c>
      <c r="E166" s="10"/>
      <c r="F166" s="16"/>
      <c r="G166" s="12"/>
      <c r="H166" s="11"/>
      <c r="I166" s="15" t="str">
        <f aca="false">IF(OR(B166="",E166=""),"",IF(COUNTIFS(Seances!$A:$A,E166,Seances!$B:$B,F166,Seances!$C:$C,D166)=0,"Séance à créer dans Seances","OK"))</f>
        <v/>
      </c>
      <c r="J166" s="11"/>
      <c r="K166" s="11"/>
    </row>
    <row r="167" customFormat="false" ht="15" hidden="false" customHeight="false" outlineLevel="0" collapsed="false">
      <c r="A167" s="10"/>
      <c r="B167" s="11"/>
      <c r="C167" s="15" t="str">
        <f aca="false">IF(B167="","",IFERROR(INDEX(Achats!$C:$C,MATCH(B167,Achats!$B:$B,0)),"N° inconnu dans Achats"))</f>
        <v/>
      </c>
      <c r="D167" s="15" t="str">
        <f aca="false">IF(B167="","",IFERROR(INDEX(Achats!$F:$F,MATCH(B167,Achats!$B:$B,0)),""))</f>
        <v/>
      </c>
      <c r="E167" s="10"/>
      <c r="F167" s="16"/>
      <c r="G167" s="12"/>
      <c r="H167" s="11"/>
      <c r="I167" s="15" t="str">
        <f aca="false">IF(OR(B167="",E167=""),"",IF(COUNTIFS(Seances!$A:$A,E167,Seances!$B:$B,F167,Seances!$C:$C,D167)=0,"Séance à créer dans Seances","OK"))</f>
        <v/>
      </c>
      <c r="J167" s="11"/>
      <c r="K167" s="11"/>
    </row>
    <row r="168" customFormat="false" ht="15" hidden="false" customHeight="false" outlineLevel="0" collapsed="false">
      <c r="A168" s="10"/>
      <c r="B168" s="11"/>
      <c r="C168" s="15" t="str">
        <f aca="false">IF(B168="","",IFERROR(INDEX(Achats!$C:$C,MATCH(B168,Achats!$B:$B,0)),"N° inconnu dans Achats"))</f>
        <v/>
      </c>
      <c r="D168" s="15" t="str">
        <f aca="false">IF(B168="","",IFERROR(INDEX(Achats!$F:$F,MATCH(B168,Achats!$B:$B,0)),""))</f>
        <v/>
      </c>
      <c r="E168" s="10"/>
      <c r="F168" s="16"/>
      <c r="G168" s="12"/>
      <c r="H168" s="11"/>
      <c r="I168" s="15" t="str">
        <f aca="false">IF(OR(B168="",E168=""),"",IF(COUNTIFS(Seances!$A:$A,E168,Seances!$B:$B,F168,Seances!$C:$C,D168)=0,"Séance à créer dans Seances","OK"))</f>
        <v/>
      </c>
      <c r="J168" s="11"/>
      <c r="K168" s="11"/>
    </row>
    <row r="169" customFormat="false" ht="15" hidden="false" customHeight="false" outlineLevel="0" collapsed="false">
      <c r="A169" s="10"/>
      <c r="B169" s="11"/>
      <c r="C169" s="15" t="str">
        <f aca="false">IF(B169="","",IFERROR(INDEX(Achats!$C:$C,MATCH(B169,Achats!$B:$B,0)),"N° inconnu dans Achats"))</f>
        <v/>
      </c>
      <c r="D169" s="15" t="str">
        <f aca="false">IF(B169="","",IFERROR(INDEX(Achats!$F:$F,MATCH(B169,Achats!$B:$B,0)),""))</f>
        <v/>
      </c>
      <c r="E169" s="10"/>
      <c r="F169" s="16"/>
      <c r="G169" s="12"/>
      <c r="H169" s="11"/>
      <c r="I169" s="15" t="str">
        <f aca="false">IF(OR(B169="",E169=""),"",IF(COUNTIFS(Seances!$A:$A,E169,Seances!$B:$B,F169,Seances!$C:$C,D169)=0,"Séance à créer dans Seances","OK"))</f>
        <v/>
      </c>
      <c r="J169" s="11"/>
      <c r="K169" s="11"/>
    </row>
    <row r="170" customFormat="false" ht="15" hidden="false" customHeight="false" outlineLevel="0" collapsed="false">
      <c r="A170" s="10"/>
      <c r="B170" s="11"/>
      <c r="C170" s="15" t="str">
        <f aca="false">IF(B170="","",IFERROR(INDEX(Achats!$C:$C,MATCH(B170,Achats!$B:$B,0)),"N° inconnu dans Achats"))</f>
        <v/>
      </c>
      <c r="D170" s="15" t="str">
        <f aca="false">IF(B170="","",IFERROR(INDEX(Achats!$F:$F,MATCH(B170,Achats!$B:$B,0)),""))</f>
        <v/>
      </c>
      <c r="E170" s="10"/>
      <c r="F170" s="16"/>
      <c r="G170" s="12"/>
      <c r="H170" s="11"/>
      <c r="I170" s="15" t="str">
        <f aca="false">IF(OR(B170="",E170=""),"",IF(COUNTIFS(Seances!$A:$A,E170,Seances!$B:$B,F170,Seances!$C:$C,D170)=0,"Séance à créer dans Seances","OK"))</f>
        <v/>
      </c>
      <c r="J170" s="11"/>
      <c r="K170" s="11"/>
    </row>
    <row r="171" customFormat="false" ht="15" hidden="false" customHeight="false" outlineLevel="0" collapsed="false">
      <c r="A171" s="10"/>
      <c r="B171" s="11"/>
      <c r="C171" s="15" t="str">
        <f aca="false">IF(B171="","",IFERROR(INDEX(Achats!$C:$C,MATCH(B171,Achats!$B:$B,0)),"N° inconnu dans Achats"))</f>
        <v/>
      </c>
      <c r="D171" s="15" t="str">
        <f aca="false">IF(B171="","",IFERROR(INDEX(Achats!$F:$F,MATCH(B171,Achats!$B:$B,0)),""))</f>
        <v/>
      </c>
      <c r="E171" s="10"/>
      <c r="F171" s="16"/>
      <c r="G171" s="12"/>
      <c r="H171" s="11"/>
      <c r="I171" s="15" t="str">
        <f aca="false">IF(OR(B171="",E171=""),"",IF(COUNTIFS(Seances!$A:$A,E171,Seances!$B:$B,F171,Seances!$C:$C,D171)=0,"Séance à créer dans Seances","OK"))</f>
        <v/>
      </c>
      <c r="J171" s="11"/>
      <c r="K171" s="11"/>
    </row>
    <row r="172" customFormat="false" ht="15" hidden="false" customHeight="false" outlineLevel="0" collapsed="false">
      <c r="A172" s="10"/>
      <c r="B172" s="11"/>
      <c r="C172" s="15" t="str">
        <f aca="false">IF(B172="","",IFERROR(INDEX(Achats!$C:$C,MATCH(B172,Achats!$B:$B,0)),"N° inconnu dans Achats"))</f>
        <v/>
      </c>
      <c r="D172" s="15" t="str">
        <f aca="false">IF(B172="","",IFERROR(INDEX(Achats!$F:$F,MATCH(B172,Achats!$B:$B,0)),""))</f>
        <v/>
      </c>
      <c r="E172" s="10"/>
      <c r="F172" s="16"/>
      <c r="G172" s="12"/>
      <c r="H172" s="11"/>
      <c r="I172" s="15" t="str">
        <f aca="false">IF(OR(B172="",E172=""),"",IF(COUNTIFS(Seances!$A:$A,E172,Seances!$B:$B,F172,Seances!$C:$C,D172)=0,"Séance à créer dans Seances","OK"))</f>
        <v/>
      </c>
      <c r="J172" s="11"/>
      <c r="K172" s="11"/>
    </row>
    <row r="173" customFormat="false" ht="15" hidden="false" customHeight="false" outlineLevel="0" collapsed="false">
      <c r="A173" s="10"/>
      <c r="B173" s="11"/>
      <c r="C173" s="15" t="str">
        <f aca="false">IF(B173="","",IFERROR(INDEX(Achats!$C:$C,MATCH(B173,Achats!$B:$B,0)),"N° inconnu dans Achats"))</f>
        <v/>
      </c>
      <c r="D173" s="15" t="str">
        <f aca="false">IF(B173="","",IFERROR(INDEX(Achats!$F:$F,MATCH(B173,Achats!$B:$B,0)),""))</f>
        <v/>
      </c>
      <c r="E173" s="10"/>
      <c r="F173" s="16"/>
      <c r="G173" s="12"/>
      <c r="H173" s="11"/>
      <c r="I173" s="15" t="str">
        <f aca="false">IF(OR(B173="",E173=""),"",IF(COUNTIFS(Seances!$A:$A,E173,Seances!$B:$B,F173,Seances!$C:$C,D173)=0,"Séance à créer dans Seances","OK"))</f>
        <v/>
      </c>
      <c r="J173" s="11"/>
      <c r="K173" s="11"/>
    </row>
    <row r="174" customFormat="false" ht="15" hidden="false" customHeight="false" outlineLevel="0" collapsed="false">
      <c r="A174" s="10"/>
      <c r="B174" s="11"/>
      <c r="C174" s="15" t="str">
        <f aca="false">IF(B174="","",IFERROR(INDEX(Achats!$C:$C,MATCH(B174,Achats!$B:$B,0)),"N° inconnu dans Achats"))</f>
        <v/>
      </c>
      <c r="D174" s="15" t="str">
        <f aca="false">IF(B174="","",IFERROR(INDEX(Achats!$F:$F,MATCH(B174,Achats!$B:$B,0)),""))</f>
        <v/>
      </c>
      <c r="E174" s="10"/>
      <c r="F174" s="16"/>
      <c r="G174" s="12"/>
      <c r="H174" s="11"/>
      <c r="I174" s="15" t="str">
        <f aca="false">IF(OR(B174="",E174=""),"",IF(COUNTIFS(Seances!$A:$A,E174,Seances!$B:$B,F174,Seances!$C:$C,D174)=0,"Séance à créer dans Seances","OK"))</f>
        <v/>
      </c>
      <c r="J174" s="11"/>
      <c r="K174" s="11"/>
    </row>
    <row r="175" customFormat="false" ht="15" hidden="false" customHeight="false" outlineLevel="0" collapsed="false">
      <c r="A175" s="10"/>
      <c r="B175" s="11"/>
      <c r="C175" s="15" t="str">
        <f aca="false">IF(B175="","",IFERROR(INDEX(Achats!$C:$C,MATCH(B175,Achats!$B:$B,0)),"N° inconnu dans Achats"))</f>
        <v/>
      </c>
      <c r="D175" s="15" t="str">
        <f aca="false">IF(B175="","",IFERROR(INDEX(Achats!$F:$F,MATCH(B175,Achats!$B:$B,0)),""))</f>
        <v/>
      </c>
      <c r="E175" s="10"/>
      <c r="F175" s="16"/>
      <c r="G175" s="12"/>
      <c r="H175" s="11"/>
      <c r="I175" s="15" t="str">
        <f aca="false">IF(OR(B175="",E175=""),"",IF(COUNTIFS(Seances!$A:$A,E175,Seances!$B:$B,F175,Seances!$C:$C,D175)=0,"Séance à créer dans Seances","OK"))</f>
        <v/>
      </c>
      <c r="J175" s="11"/>
      <c r="K175" s="11"/>
    </row>
    <row r="176" customFormat="false" ht="15" hidden="false" customHeight="false" outlineLevel="0" collapsed="false">
      <c r="A176" s="10"/>
      <c r="B176" s="11"/>
      <c r="C176" s="15" t="str">
        <f aca="false">IF(B176="","",IFERROR(INDEX(Achats!$C:$C,MATCH(B176,Achats!$B:$B,0)),"N° inconnu dans Achats"))</f>
        <v/>
      </c>
      <c r="D176" s="15" t="str">
        <f aca="false">IF(B176="","",IFERROR(INDEX(Achats!$F:$F,MATCH(B176,Achats!$B:$B,0)),""))</f>
        <v/>
      </c>
      <c r="E176" s="10"/>
      <c r="F176" s="16"/>
      <c r="G176" s="12"/>
      <c r="H176" s="11"/>
      <c r="I176" s="15" t="str">
        <f aca="false">IF(OR(B176="",E176=""),"",IF(COUNTIFS(Seances!$A:$A,E176,Seances!$B:$B,F176,Seances!$C:$C,D176)=0,"Séance à créer dans Seances","OK"))</f>
        <v/>
      </c>
      <c r="J176" s="11"/>
      <c r="K176" s="11"/>
    </row>
    <row r="177" customFormat="false" ht="15" hidden="false" customHeight="false" outlineLevel="0" collapsed="false">
      <c r="A177" s="10"/>
      <c r="B177" s="11"/>
      <c r="C177" s="15" t="str">
        <f aca="false">IF(B177="","",IFERROR(INDEX(Achats!$C:$C,MATCH(B177,Achats!$B:$B,0)),"N° inconnu dans Achats"))</f>
        <v/>
      </c>
      <c r="D177" s="15" t="str">
        <f aca="false">IF(B177="","",IFERROR(INDEX(Achats!$F:$F,MATCH(B177,Achats!$B:$B,0)),""))</f>
        <v/>
      </c>
      <c r="E177" s="10"/>
      <c r="F177" s="16"/>
      <c r="G177" s="12"/>
      <c r="H177" s="11"/>
      <c r="I177" s="15" t="str">
        <f aca="false">IF(OR(B177="",E177=""),"",IF(COUNTIFS(Seances!$A:$A,E177,Seances!$B:$B,F177,Seances!$C:$C,D177)=0,"Séance à créer dans Seances","OK"))</f>
        <v/>
      </c>
      <c r="J177" s="11"/>
      <c r="K177" s="11"/>
    </row>
    <row r="178" customFormat="false" ht="15" hidden="false" customHeight="false" outlineLevel="0" collapsed="false">
      <c r="A178" s="10"/>
      <c r="B178" s="11"/>
      <c r="C178" s="15" t="str">
        <f aca="false">IF(B178="","",IFERROR(INDEX(Achats!$C:$C,MATCH(B178,Achats!$B:$B,0)),"N° inconnu dans Achats"))</f>
        <v/>
      </c>
      <c r="D178" s="15" t="str">
        <f aca="false">IF(B178="","",IFERROR(INDEX(Achats!$F:$F,MATCH(B178,Achats!$B:$B,0)),""))</f>
        <v/>
      </c>
      <c r="E178" s="10"/>
      <c r="F178" s="16"/>
      <c r="G178" s="12"/>
      <c r="H178" s="11"/>
      <c r="I178" s="15" t="str">
        <f aca="false">IF(OR(B178="",E178=""),"",IF(COUNTIFS(Seances!$A:$A,E178,Seances!$B:$B,F178,Seances!$C:$C,D178)=0,"Séance à créer dans Seances","OK"))</f>
        <v/>
      </c>
      <c r="J178" s="11"/>
      <c r="K178" s="11"/>
    </row>
    <row r="179" customFormat="false" ht="15" hidden="false" customHeight="false" outlineLevel="0" collapsed="false">
      <c r="A179" s="10"/>
      <c r="B179" s="11"/>
      <c r="C179" s="15" t="str">
        <f aca="false">IF(B179="","",IFERROR(INDEX(Achats!$C:$C,MATCH(B179,Achats!$B:$B,0)),"N° inconnu dans Achats"))</f>
        <v/>
      </c>
      <c r="D179" s="15" t="str">
        <f aca="false">IF(B179="","",IFERROR(INDEX(Achats!$F:$F,MATCH(B179,Achats!$B:$B,0)),""))</f>
        <v/>
      </c>
      <c r="E179" s="10"/>
      <c r="F179" s="16"/>
      <c r="G179" s="12"/>
      <c r="H179" s="11"/>
      <c r="I179" s="15" t="str">
        <f aca="false">IF(OR(B179="",E179=""),"",IF(COUNTIFS(Seances!$A:$A,E179,Seances!$B:$B,F179,Seances!$C:$C,D179)=0,"Séance à créer dans Seances","OK"))</f>
        <v/>
      </c>
      <c r="J179" s="11"/>
      <c r="K179" s="11"/>
    </row>
    <row r="180" customFormat="false" ht="15" hidden="false" customHeight="false" outlineLevel="0" collapsed="false">
      <c r="A180" s="10"/>
      <c r="B180" s="11"/>
      <c r="C180" s="15" t="str">
        <f aca="false">IF(B180="","",IFERROR(INDEX(Achats!$C:$C,MATCH(B180,Achats!$B:$B,0)),"N° inconnu dans Achats"))</f>
        <v/>
      </c>
      <c r="D180" s="15" t="str">
        <f aca="false">IF(B180="","",IFERROR(INDEX(Achats!$F:$F,MATCH(B180,Achats!$B:$B,0)),""))</f>
        <v/>
      </c>
      <c r="E180" s="10"/>
      <c r="F180" s="16"/>
      <c r="G180" s="12"/>
      <c r="H180" s="11"/>
      <c r="I180" s="15" t="str">
        <f aca="false">IF(OR(B180="",E180=""),"",IF(COUNTIFS(Seances!$A:$A,E180,Seances!$B:$B,F180,Seances!$C:$C,D180)=0,"Séance à créer dans Seances","OK"))</f>
        <v/>
      </c>
      <c r="J180" s="11"/>
      <c r="K180" s="11"/>
    </row>
    <row r="181" customFormat="false" ht="15" hidden="false" customHeight="false" outlineLevel="0" collapsed="false">
      <c r="A181" s="10"/>
      <c r="B181" s="11"/>
      <c r="C181" s="15" t="str">
        <f aca="false">IF(B181="","",IFERROR(INDEX(Achats!$C:$C,MATCH(B181,Achats!$B:$B,0)),"N° inconnu dans Achats"))</f>
        <v/>
      </c>
      <c r="D181" s="15" t="str">
        <f aca="false">IF(B181="","",IFERROR(INDEX(Achats!$F:$F,MATCH(B181,Achats!$B:$B,0)),""))</f>
        <v/>
      </c>
      <c r="E181" s="10"/>
      <c r="F181" s="16"/>
      <c r="G181" s="12"/>
      <c r="H181" s="11"/>
      <c r="I181" s="15" t="str">
        <f aca="false">IF(OR(B181="",E181=""),"",IF(COUNTIFS(Seances!$A:$A,E181,Seances!$B:$B,F181,Seances!$C:$C,D181)=0,"Séance à créer dans Seances","OK"))</f>
        <v/>
      </c>
      <c r="J181" s="11"/>
      <c r="K181" s="11"/>
    </row>
    <row r="182" customFormat="false" ht="15" hidden="false" customHeight="false" outlineLevel="0" collapsed="false">
      <c r="A182" s="10"/>
      <c r="B182" s="11"/>
      <c r="C182" s="15" t="str">
        <f aca="false">IF(B182="","",IFERROR(INDEX(Achats!$C:$C,MATCH(B182,Achats!$B:$B,0)),"N° inconnu dans Achats"))</f>
        <v/>
      </c>
      <c r="D182" s="15" t="str">
        <f aca="false">IF(B182="","",IFERROR(INDEX(Achats!$F:$F,MATCH(B182,Achats!$B:$B,0)),""))</f>
        <v/>
      </c>
      <c r="E182" s="10"/>
      <c r="F182" s="16"/>
      <c r="G182" s="12"/>
      <c r="H182" s="11"/>
      <c r="I182" s="15" t="str">
        <f aca="false">IF(OR(B182="",E182=""),"",IF(COUNTIFS(Seances!$A:$A,E182,Seances!$B:$B,F182,Seances!$C:$C,D182)=0,"Séance à créer dans Seances","OK"))</f>
        <v/>
      </c>
      <c r="J182" s="11"/>
      <c r="K182" s="11"/>
    </row>
    <row r="183" customFormat="false" ht="15" hidden="false" customHeight="false" outlineLevel="0" collapsed="false">
      <c r="A183" s="10"/>
      <c r="B183" s="11"/>
      <c r="C183" s="15" t="str">
        <f aca="false">IF(B183="","",IFERROR(INDEX(Achats!$C:$C,MATCH(B183,Achats!$B:$B,0)),"N° inconnu dans Achats"))</f>
        <v/>
      </c>
      <c r="D183" s="15" t="str">
        <f aca="false">IF(B183="","",IFERROR(INDEX(Achats!$F:$F,MATCH(B183,Achats!$B:$B,0)),""))</f>
        <v/>
      </c>
      <c r="E183" s="10"/>
      <c r="F183" s="16"/>
      <c r="G183" s="12"/>
      <c r="H183" s="11"/>
      <c r="I183" s="15" t="str">
        <f aca="false">IF(OR(B183="",E183=""),"",IF(COUNTIFS(Seances!$A:$A,E183,Seances!$B:$B,F183,Seances!$C:$C,D183)=0,"Séance à créer dans Seances","OK"))</f>
        <v/>
      </c>
      <c r="J183" s="11"/>
      <c r="K183" s="11"/>
    </row>
    <row r="184" customFormat="false" ht="15" hidden="false" customHeight="false" outlineLevel="0" collapsed="false">
      <c r="A184" s="10"/>
      <c r="B184" s="11"/>
      <c r="C184" s="15" t="str">
        <f aca="false">IF(B184="","",IFERROR(INDEX(Achats!$C:$C,MATCH(B184,Achats!$B:$B,0)),"N° inconnu dans Achats"))</f>
        <v/>
      </c>
      <c r="D184" s="15" t="str">
        <f aca="false">IF(B184="","",IFERROR(INDEX(Achats!$F:$F,MATCH(B184,Achats!$B:$B,0)),""))</f>
        <v/>
      </c>
      <c r="E184" s="10"/>
      <c r="F184" s="16"/>
      <c r="G184" s="12"/>
      <c r="H184" s="11"/>
      <c r="I184" s="15" t="str">
        <f aca="false">IF(OR(B184="",E184=""),"",IF(COUNTIFS(Seances!$A:$A,E184,Seances!$B:$B,F184,Seances!$C:$C,D184)=0,"Séance à créer dans Seances","OK"))</f>
        <v/>
      </c>
      <c r="J184" s="11"/>
      <c r="K184" s="11"/>
    </row>
    <row r="185" customFormat="false" ht="15" hidden="false" customHeight="false" outlineLevel="0" collapsed="false">
      <c r="A185" s="10"/>
      <c r="B185" s="11"/>
      <c r="C185" s="15" t="str">
        <f aca="false">IF(B185="","",IFERROR(INDEX(Achats!$C:$C,MATCH(B185,Achats!$B:$B,0)),"N° inconnu dans Achats"))</f>
        <v/>
      </c>
      <c r="D185" s="15" t="str">
        <f aca="false">IF(B185="","",IFERROR(INDEX(Achats!$F:$F,MATCH(B185,Achats!$B:$B,0)),""))</f>
        <v/>
      </c>
      <c r="E185" s="10"/>
      <c r="F185" s="16"/>
      <c r="G185" s="12"/>
      <c r="H185" s="11"/>
      <c r="I185" s="15" t="str">
        <f aca="false">IF(OR(B185="",E185=""),"",IF(COUNTIFS(Seances!$A:$A,E185,Seances!$B:$B,F185,Seances!$C:$C,D185)=0,"Séance à créer dans Seances","OK"))</f>
        <v/>
      </c>
      <c r="J185" s="11"/>
      <c r="K185" s="11"/>
    </row>
    <row r="186" customFormat="false" ht="15" hidden="false" customHeight="false" outlineLevel="0" collapsed="false">
      <c r="A186" s="10"/>
      <c r="B186" s="11"/>
      <c r="C186" s="15" t="str">
        <f aca="false">IF(B186="","",IFERROR(INDEX(Achats!$C:$C,MATCH(B186,Achats!$B:$B,0)),"N° inconnu dans Achats"))</f>
        <v/>
      </c>
      <c r="D186" s="15" t="str">
        <f aca="false">IF(B186="","",IFERROR(INDEX(Achats!$F:$F,MATCH(B186,Achats!$B:$B,0)),""))</f>
        <v/>
      </c>
      <c r="E186" s="10"/>
      <c r="F186" s="16"/>
      <c r="G186" s="12"/>
      <c r="H186" s="11"/>
      <c r="I186" s="15" t="str">
        <f aca="false">IF(OR(B186="",E186=""),"",IF(COUNTIFS(Seances!$A:$A,E186,Seances!$B:$B,F186,Seances!$C:$C,D186)=0,"Séance à créer dans Seances","OK"))</f>
        <v/>
      </c>
      <c r="J186" s="11"/>
      <c r="K186" s="11"/>
    </row>
    <row r="187" customFormat="false" ht="15" hidden="false" customHeight="false" outlineLevel="0" collapsed="false">
      <c r="A187" s="10"/>
      <c r="B187" s="11"/>
      <c r="C187" s="15" t="str">
        <f aca="false">IF(B187="","",IFERROR(INDEX(Achats!$C:$C,MATCH(B187,Achats!$B:$B,0)),"N° inconnu dans Achats"))</f>
        <v/>
      </c>
      <c r="D187" s="15" t="str">
        <f aca="false">IF(B187="","",IFERROR(INDEX(Achats!$F:$F,MATCH(B187,Achats!$B:$B,0)),""))</f>
        <v/>
      </c>
      <c r="E187" s="10"/>
      <c r="F187" s="16"/>
      <c r="G187" s="12"/>
      <c r="H187" s="11"/>
      <c r="I187" s="15" t="str">
        <f aca="false">IF(OR(B187="",E187=""),"",IF(COUNTIFS(Seances!$A:$A,E187,Seances!$B:$B,F187,Seances!$C:$C,D187)=0,"Séance à créer dans Seances","OK"))</f>
        <v/>
      </c>
      <c r="J187" s="11"/>
      <c r="K187" s="11"/>
    </row>
    <row r="188" customFormat="false" ht="15" hidden="false" customHeight="false" outlineLevel="0" collapsed="false">
      <c r="A188" s="10"/>
      <c r="B188" s="11"/>
      <c r="C188" s="15" t="str">
        <f aca="false">IF(B188="","",IFERROR(INDEX(Achats!$C:$C,MATCH(B188,Achats!$B:$B,0)),"N° inconnu dans Achats"))</f>
        <v/>
      </c>
      <c r="D188" s="15" t="str">
        <f aca="false">IF(B188="","",IFERROR(INDEX(Achats!$F:$F,MATCH(B188,Achats!$B:$B,0)),""))</f>
        <v/>
      </c>
      <c r="E188" s="10"/>
      <c r="F188" s="16"/>
      <c r="G188" s="12"/>
      <c r="H188" s="11"/>
      <c r="I188" s="15" t="str">
        <f aca="false">IF(OR(B188="",E188=""),"",IF(COUNTIFS(Seances!$A:$A,E188,Seances!$B:$B,F188,Seances!$C:$C,D188)=0,"Séance à créer dans Seances","OK"))</f>
        <v/>
      </c>
      <c r="J188" s="11"/>
      <c r="K188" s="11"/>
    </row>
    <row r="189" customFormat="false" ht="15" hidden="false" customHeight="false" outlineLevel="0" collapsed="false">
      <c r="A189" s="10"/>
      <c r="B189" s="11"/>
      <c r="C189" s="15" t="str">
        <f aca="false">IF(B189="","",IFERROR(INDEX(Achats!$C:$C,MATCH(B189,Achats!$B:$B,0)),"N° inconnu dans Achats"))</f>
        <v/>
      </c>
      <c r="D189" s="15" t="str">
        <f aca="false">IF(B189="","",IFERROR(INDEX(Achats!$F:$F,MATCH(B189,Achats!$B:$B,0)),""))</f>
        <v/>
      </c>
      <c r="E189" s="10"/>
      <c r="F189" s="16"/>
      <c r="G189" s="12"/>
      <c r="H189" s="11"/>
      <c r="I189" s="15" t="str">
        <f aca="false">IF(OR(B189="",E189=""),"",IF(COUNTIFS(Seances!$A:$A,E189,Seances!$B:$B,F189,Seances!$C:$C,D189)=0,"Séance à créer dans Seances","OK"))</f>
        <v/>
      </c>
      <c r="J189" s="11"/>
      <c r="K189" s="11"/>
    </row>
    <row r="190" customFormat="false" ht="15" hidden="false" customHeight="false" outlineLevel="0" collapsed="false">
      <c r="A190" s="10"/>
      <c r="B190" s="11"/>
      <c r="C190" s="15" t="str">
        <f aca="false">IF(B190="","",IFERROR(INDEX(Achats!$C:$C,MATCH(B190,Achats!$B:$B,0)),"N° inconnu dans Achats"))</f>
        <v/>
      </c>
      <c r="D190" s="15" t="str">
        <f aca="false">IF(B190="","",IFERROR(INDEX(Achats!$F:$F,MATCH(B190,Achats!$B:$B,0)),""))</f>
        <v/>
      </c>
      <c r="E190" s="10"/>
      <c r="F190" s="16"/>
      <c r="G190" s="12"/>
      <c r="H190" s="11"/>
      <c r="I190" s="15" t="str">
        <f aca="false">IF(OR(B190="",E190=""),"",IF(COUNTIFS(Seances!$A:$A,E190,Seances!$B:$B,F190,Seances!$C:$C,D190)=0,"Séance à créer dans Seances","OK"))</f>
        <v/>
      </c>
      <c r="J190" s="11"/>
      <c r="K190" s="11"/>
    </row>
    <row r="191" customFormat="false" ht="15" hidden="false" customHeight="false" outlineLevel="0" collapsed="false">
      <c r="A191" s="10"/>
      <c r="B191" s="11"/>
      <c r="C191" s="15" t="str">
        <f aca="false">IF(B191="","",IFERROR(INDEX(Achats!$C:$C,MATCH(B191,Achats!$B:$B,0)),"N° inconnu dans Achats"))</f>
        <v/>
      </c>
      <c r="D191" s="15" t="str">
        <f aca="false">IF(B191="","",IFERROR(INDEX(Achats!$F:$F,MATCH(B191,Achats!$B:$B,0)),""))</f>
        <v/>
      </c>
      <c r="E191" s="10"/>
      <c r="F191" s="16"/>
      <c r="G191" s="12"/>
      <c r="H191" s="11"/>
      <c r="I191" s="15" t="str">
        <f aca="false">IF(OR(B191="",E191=""),"",IF(COUNTIFS(Seances!$A:$A,E191,Seances!$B:$B,F191,Seances!$C:$C,D191)=0,"Séance à créer dans Seances","OK"))</f>
        <v/>
      </c>
      <c r="J191" s="11"/>
      <c r="K191" s="11"/>
    </row>
    <row r="192" customFormat="false" ht="15" hidden="false" customHeight="false" outlineLevel="0" collapsed="false">
      <c r="A192" s="10"/>
      <c r="B192" s="11"/>
      <c r="C192" s="15" t="str">
        <f aca="false">IF(B192="","",IFERROR(INDEX(Achats!$C:$C,MATCH(B192,Achats!$B:$B,0)),"N° inconnu dans Achats"))</f>
        <v/>
      </c>
      <c r="D192" s="15" t="str">
        <f aca="false">IF(B192="","",IFERROR(INDEX(Achats!$F:$F,MATCH(B192,Achats!$B:$B,0)),""))</f>
        <v/>
      </c>
      <c r="E192" s="10"/>
      <c r="F192" s="16"/>
      <c r="G192" s="12"/>
      <c r="H192" s="11"/>
      <c r="I192" s="15" t="str">
        <f aca="false">IF(OR(B192="",E192=""),"",IF(COUNTIFS(Seances!$A:$A,E192,Seances!$B:$B,F192,Seances!$C:$C,D192)=0,"Séance à créer dans Seances","OK"))</f>
        <v/>
      </c>
      <c r="J192" s="11"/>
      <c r="K192" s="11"/>
    </row>
    <row r="193" customFormat="false" ht="15" hidden="false" customHeight="false" outlineLevel="0" collapsed="false">
      <c r="A193" s="10"/>
      <c r="B193" s="11"/>
      <c r="C193" s="15" t="str">
        <f aca="false">IF(B193="","",IFERROR(INDEX(Achats!$C:$C,MATCH(B193,Achats!$B:$B,0)),"N° inconnu dans Achats"))</f>
        <v/>
      </c>
      <c r="D193" s="15" t="str">
        <f aca="false">IF(B193="","",IFERROR(INDEX(Achats!$F:$F,MATCH(B193,Achats!$B:$B,0)),""))</f>
        <v/>
      </c>
      <c r="E193" s="10"/>
      <c r="F193" s="16"/>
      <c r="G193" s="12"/>
      <c r="H193" s="11"/>
      <c r="I193" s="15" t="str">
        <f aca="false">IF(OR(B193="",E193=""),"",IF(COUNTIFS(Seances!$A:$A,E193,Seances!$B:$B,F193,Seances!$C:$C,D193)=0,"Séance à créer dans Seances","OK"))</f>
        <v/>
      </c>
      <c r="J193" s="11"/>
      <c r="K193" s="11"/>
    </row>
    <row r="194" customFormat="false" ht="15" hidden="false" customHeight="false" outlineLevel="0" collapsed="false">
      <c r="A194" s="10"/>
      <c r="B194" s="11"/>
      <c r="C194" s="15" t="str">
        <f aca="false">IF(B194="","",IFERROR(INDEX(Achats!$C:$C,MATCH(B194,Achats!$B:$B,0)),"N° inconnu dans Achats"))</f>
        <v/>
      </c>
      <c r="D194" s="15" t="str">
        <f aca="false">IF(B194="","",IFERROR(INDEX(Achats!$F:$F,MATCH(B194,Achats!$B:$B,0)),""))</f>
        <v/>
      </c>
      <c r="E194" s="10"/>
      <c r="F194" s="16"/>
      <c r="G194" s="12"/>
      <c r="H194" s="11"/>
      <c r="I194" s="15" t="str">
        <f aca="false">IF(OR(B194="",E194=""),"",IF(COUNTIFS(Seances!$A:$A,E194,Seances!$B:$B,F194,Seances!$C:$C,D194)=0,"Séance à créer dans Seances","OK"))</f>
        <v/>
      </c>
      <c r="J194" s="11"/>
      <c r="K194" s="11"/>
    </row>
    <row r="195" customFormat="false" ht="15" hidden="false" customHeight="false" outlineLevel="0" collapsed="false">
      <c r="A195" s="10"/>
      <c r="B195" s="11"/>
      <c r="C195" s="15" t="str">
        <f aca="false">IF(B195="","",IFERROR(INDEX(Achats!$C:$C,MATCH(B195,Achats!$B:$B,0)),"N° inconnu dans Achats"))</f>
        <v/>
      </c>
      <c r="D195" s="15" t="str">
        <f aca="false">IF(B195="","",IFERROR(INDEX(Achats!$F:$F,MATCH(B195,Achats!$B:$B,0)),""))</f>
        <v/>
      </c>
      <c r="E195" s="10"/>
      <c r="F195" s="16"/>
      <c r="G195" s="12"/>
      <c r="H195" s="11"/>
      <c r="I195" s="15" t="str">
        <f aca="false">IF(OR(B195="",E195=""),"",IF(COUNTIFS(Seances!$A:$A,E195,Seances!$B:$B,F195,Seances!$C:$C,D195)=0,"Séance à créer dans Seances","OK"))</f>
        <v/>
      </c>
      <c r="J195" s="11"/>
      <c r="K195" s="11"/>
    </row>
    <row r="196" customFormat="false" ht="15" hidden="false" customHeight="false" outlineLevel="0" collapsed="false">
      <c r="A196" s="10"/>
      <c r="B196" s="11"/>
      <c r="C196" s="15" t="str">
        <f aca="false">IF(B196="","",IFERROR(INDEX(Achats!$C:$C,MATCH(B196,Achats!$B:$B,0)),"N° inconnu dans Achats"))</f>
        <v/>
      </c>
      <c r="D196" s="15" t="str">
        <f aca="false">IF(B196="","",IFERROR(INDEX(Achats!$F:$F,MATCH(B196,Achats!$B:$B,0)),""))</f>
        <v/>
      </c>
      <c r="E196" s="10"/>
      <c r="F196" s="16"/>
      <c r="G196" s="12"/>
      <c r="H196" s="11"/>
      <c r="I196" s="15" t="str">
        <f aca="false">IF(OR(B196="",E196=""),"",IF(COUNTIFS(Seances!$A:$A,E196,Seances!$B:$B,F196,Seances!$C:$C,D196)=0,"Séance à créer dans Seances","OK"))</f>
        <v/>
      </c>
      <c r="J196" s="11"/>
      <c r="K196" s="11"/>
    </row>
    <row r="197" customFormat="false" ht="15" hidden="false" customHeight="false" outlineLevel="0" collapsed="false">
      <c r="A197" s="10"/>
      <c r="B197" s="11"/>
      <c r="C197" s="15" t="str">
        <f aca="false">IF(B197="","",IFERROR(INDEX(Achats!$C:$C,MATCH(B197,Achats!$B:$B,0)),"N° inconnu dans Achats"))</f>
        <v/>
      </c>
      <c r="D197" s="15" t="str">
        <f aca="false">IF(B197="","",IFERROR(INDEX(Achats!$F:$F,MATCH(B197,Achats!$B:$B,0)),""))</f>
        <v/>
      </c>
      <c r="E197" s="10"/>
      <c r="F197" s="16"/>
      <c r="G197" s="12"/>
      <c r="H197" s="11"/>
      <c r="I197" s="15" t="str">
        <f aca="false">IF(OR(B197="",E197=""),"",IF(COUNTIFS(Seances!$A:$A,E197,Seances!$B:$B,F197,Seances!$C:$C,D197)=0,"Séance à créer dans Seances","OK"))</f>
        <v/>
      </c>
      <c r="J197" s="11"/>
      <c r="K197" s="11"/>
    </row>
    <row r="198" customFormat="false" ht="15" hidden="false" customHeight="false" outlineLevel="0" collapsed="false">
      <c r="A198" s="10"/>
      <c r="B198" s="11"/>
      <c r="C198" s="15" t="str">
        <f aca="false">IF(B198="","",IFERROR(INDEX(Achats!$C:$C,MATCH(B198,Achats!$B:$B,0)),"N° inconnu dans Achats"))</f>
        <v/>
      </c>
      <c r="D198" s="15" t="str">
        <f aca="false">IF(B198="","",IFERROR(INDEX(Achats!$F:$F,MATCH(B198,Achats!$B:$B,0)),""))</f>
        <v/>
      </c>
      <c r="E198" s="10"/>
      <c r="F198" s="16"/>
      <c r="G198" s="12"/>
      <c r="H198" s="11"/>
      <c r="I198" s="15" t="str">
        <f aca="false">IF(OR(B198="",E198=""),"",IF(COUNTIFS(Seances!$A:$A,E198,Seances!$B:$B,F198,Seances!$C:$C,D198)=0,"Séance à créer dans Seances","OK"))</f>
        <v/>
      </c>
      <c r="J198" s="11"/>
      <c r="K198" s="11"/>
    </row>
    <row r="199" customFormat="false" ht="15" hidden="false" customHeight="false" outlineLevel="0" collapsed="false">
      <c r="A199" s="10"/>
      <c r="B199" s="11"/>
      <c r="C199" s="15" t="str">
        <f aca="false">IF(B199="","",IFERROR(INDEX(Achats!$C:$C,MATCH(B199,Achats!$B:$B,0)),"N° inconnu dans Achats"))</f>
        <v/>
      </c>
      <c r="D199" s="15" t="str">
        <f aca="false">IF(B199="","",IFERROR(INDEX(Achats!$F:$F,MATCH(B199,Achats!$B:$B,0)),""))</f>
        <v/>
      </c>
      <c r="E199" s="10"/>
      <c r="F199" s="16"/>
      <c r="G199" s="12"/>
      <c r="H199" s="11"/>
      <c r="I199" s="15" t="str">
        <f aca="false">IF(OR(B199="",E199=""),"",IF(COUNTIFS(Seances!$A:$A,E199,Seances!$B:$B,F199,Seances!$C:$C,D199)=0,"Séance à créer dans Seances","OK"))</f>
        <v/>
      </c>
      <c r="J199" s="11"/>
      <c r="K199" s="11"/>
    </row>
    <row r="200" customFormat="false" ht="15" hidden="false" customHeight="false" outlineLevel="0" collapsed="false">
      <c r="A200" s="10"/>
      <c r="B200" s="11"/>
      <c r="C200" s="15" t="str">
        <f aca="false">IF(B200="","",IFERROR(INDEX(Achats!$C:$C,MATCH(B200,Achats!$B:$B,0)),"N° inconnu dans Achats"))</f>
        <v/>
      </c>
      <c r="D200" s="15" t="str">
        <f aca="false">IF(B200="","",IFERROR(INDEX(Achats!$F:$F,MATCH(B200,Achats!$B:$B,0)),""))</f>
        <v/>
      </c>
      <c r="E200" s="10"/>
      <c r="F200" s="16"/>
      <c r="G200" s="12"/>
      <c r="H200" s="11"/>
      <c r="I200" s="15" t="str">
        <f aca="false">IF(OR(B200="",E200=""),"",IF(COUNTIFS(Seances!$A:$A,E200,Seances!$B:$B,F200,Seances!$C:$C,D200)=0,"Séance à créer dans Seances","OK"))</f>
        <v/>
      </c>
      <c r="J200" s="11"/>
      <c r="K200" s="11"/>
    </row>
    <row r="201" customFormat="false" ht="15" hidden="false" customHeight="false" outlineLevel="0" collapsed="false">
      <c r="A201" s="10"/>
      <c r="B201" s="11"/>
      <c r="C201" s="15" t="str">
        <f aca="false">IF(B201="","",IFERROR(INDEX(Achats!$C:$C,MATCH(B201,Achats!$B:$B,0)),"N° inconnu dans Achats"))</f>
        <v/>
      </c>
      <c r="D201" s="15" t="str">
        <f aca="false">IF(B201="","",IFERROR(INDEX(Achats!$F:$F,MATCH(B201,Achats!$B:$B,0)),""))</f>
        <v/>
      </c>
      <c r="E201" s="10"/>
      <c r="F201" s="16"/>
      <c r="G201" s="12"/>
      <c r="H201" s="11"/>
      <c r="I201" s="15" t="str">
        <f aca="false">IF(OR(B201="",E201=""),"",IF(COUNTIFS(Seances!$A:$A,E201,Seances!$B:$B,F201,Seances!$C:$C,D201)=0,"Séance à créer dans Seances","OK"))</f>
        <v/>
      </c>
      <c r="J201" s="11"/>
      <c r="K201" s="11"/>
    </row>
    <row r="202" customFormat="false" ht="15" hidden="false" customHeight="false" outlineLevel="0" collapsed="false">
      <c r="A202" s="10"/>
      <c r="B202" s="11"/>
      <c r="C202" s="15" t="str">
        <f aca="false">IF(B202="","",IFERROR(INDEX(Achats!$C:$C,MATCH(B202,Achats!$B:$B,0)),"N° inconnu dans Achats"))</f>
        <v/>
      </c>
      <c r="D202" s="15" t="str">
        <f aca="false">IF(B202="","",IFERROR(INDEX(Achats!$F:$F,MATCH(B202,Achats!$B:$B,0)),""))</f>
        <v/>
      </c>
      <c r="E202" s="10"/>
      <c r="F202" s="16"/>
      <c r="G202" s="12"/>
      <c r="H202" s="11"/>
      <c r="I202" s="15" t="str">
        <f aca="false">IF(OR(B202="",E202=""),"",IF(COUNTIFS(Seances!$A:$A,E202,Seances!$B:$B,F202,Seances!$C:$C,D202)=0,"Séance à créer dans Seances","OK"))</f>
        <v/>
      </c>
      <c r="J202" s="11"/>
      <c r="K202" s="11"/>
    </row>
    <row r="203" customFormat="false" ht="15" hidden="false" customHeight="false" outlineLevel="0" collapsed="false">
      <c r="A203" s="10"/>
      <c r="B203" s="11"/>
      <c r="C203" s="15" t="str">
        <f aca="false">IF(B203="","",IFERROR(INDEX(Achats!$C:$C,MATCH(B203,Achats!$B:$B,0)),"N° inconnu dans Achats"))</f>
        <v/>
      </c>
      <c r="D203" s="15" t="str">
        <f aca="false">IF(B203="","",IFERROR(INDEX(Achats!$F:$F,MATCH(B203,Achats!$B:$B,0)),""))</f>
        <v/>
      </c>
      <c r="E203" s="10"/>
      <c r="F203" s="16"/>
      <c r="G203" s="12"/>
      <c r="H203" s="11"/>
      <c r="I203" s="15" t="str">
        <f aca="false">IF(OR(B203="",E203=""),"",IF(COUNTIFS(Seances!$A:$A,E203,Seances!$B:$B,F203,Seances!$C:$C,D203)=0,"Séance à créer dans Seances","OK"))</f>
        <v/>
      </c>
      <c r="J203" s="11"/>
      <c r="K203" s="11"/>
    </row>
    <row r="204" customFormat="false" ht="15" hidden="false" customHeight="false" outlineLevel="0" collapsed="false">
      <c r="A204" s="10"/>
      <c r="B204" s="11"/>
      <c r="C204" s="15" t="str">
        <f aca="false">IF(B204="","",IFERROR(INDEX(Achats!$C:$C,MATCH(B204,Achats!$B:$B,0)),"N° inconnu dans Achats"))</f>
        <v/>
      </c>
      <c r="D204" s="15" t="str">
        <f aca="false">IF(B204="","",IFERROR(INDEX(Achats!$F:$F,MATCH(B204,Achats!$B:$B,0)),""))</f>
        <v/>
      </c>
      <c r="E204" s="10"/>
      <c r="F204" s="16"/>
      <c r="G204" s="12"/>
      <c r="H204" s="11"/>
      <c r="I204" s="15" t="str">
        <f aca="false">IF(OR(B204="",E204=""),"",IF(COUNTIFS(Seances!$A:$A,E204,Seances!$B:$B,F204,Seances!$C:$C,D204)=0,"Séance à créer dans Seances","OK"))</f>
        <v/>
      </c>
      <c r="J204" s="11"/>
      <c r="K204" s="11"/>
    </row>
    <row r="205" customFormat="false" ht="15" hidden="false" customHeight="false" outlineLevel="0" collapsed="false">
      <c r="A205" s="10"/>
      <c r="B205" s="11"/>
      <c r="C205" s="15" t="str">
        <f aca="false">IF(B205="","",IFERROR(INDEX(Achats!$C:$C,MATCH(B205,Achats!$B:$B,0)),"N° inconnu dans Achats"))</f>
        <v/>
      </c>
      <c r="D205" s="15" t="str">
        <f aca="false">IF(B205="","",IFERROR(INDEX(Achats!$F:$F,MATCH(B205,Achats!$B:$B,0)),""))</f>
        <v/>
      </c>
      <c r="E205" s="10"/>
      <c r="F205" s="16"/>
      <c r="G205" s="12"/>
      <c r="H205" s="11"/>
      <c r="I205" s="15" t="str">
        <f aca="false">IF(OR(B205="",E205=""),"",IF(COUNTIFS(Seances!$A:$A,E205,Seances!$B:$B,F205,Seances!$C:$C,D205)=0,"Séance à créer dans Seances","OK"))</f>
        <v/>
      </c>
      <c r="J205" s="11"/>
      <c r="K205" s="11"/>
    </row>
    <row r="206" customFormat="false" ht="15" hidden="false" customHeight="false" outlineLevel="0" collapsed="false">
      <c r="A206" s="10"/>
      <c r="B206" s="11"/>
      <c r="C206" s="15" t="str">
        <f aca="false">IF(B206="","",IFERROR(INDEX(Achats!$C:$C,MATCH(B206,Achats!$B:$B,0)),"N° inconnu dans Achats"))</f>
        <v/>
      </c>
      <c r="D206" s="15" t="str">
        <f aca="false">IF(B206="","",IFERROR(INDEX(Achats!$F:$F,MATCH(B206,Achats!$B:$B,0)),""))</f>
        <v/>
      </c>
      <c r="E206" s="10"/>
      <c r="F206" s="16"/>
      <c r="G206" s="12"/>
      <c r="H206" s="11"/>
      <c r="I206" s="15" t="str">
        <f aca="false">IF(OR(B206="",E206=""),"",IF(COUNTIFS(Seances!$A:$A,E206,Seances!$B:$B,F206,Seances!$C:$C,D206)=0,"Séance à créer dans Seances","OK"))</f>
        <v/>
      </c>
      <c r="J206" s="11"/>
      <c r="K206" s="11"/>
    </row>
    <row r="207" customFormat="false" ht="15" hidden="false" customHeight="false" outlineLevel="0" collapsed="false">
      <c r="A207" s="10"/>
      <c r="B207" s="11"/>
      <c r="C207" s="15" t="str">
        <f aca="false">IF(B207="","",IFERROR(INDEX(Achats!$C:$C,MATCH(B207,Achats!$B:$B,0)),"N° inconnu dans Achats"))</f>
        <v/>
      </c>
      <c r="D207" s="15" t="str">
        <f aca="false">IF(B207="","",IFERROR(INDEX(Achats!$F:$F,MATCH(B207,Achats!$B:$B,0)),""))</f>
        <v/>
      </c>
      <c r="E207" s="10"/>
      <c r="F207" s="16"/>
      <c r="G207" s="12"/>
      <c r="H207" s="11"/>
      <c r="I207" s="15" t="str">
        <f aca="false">IF(OR(B207="",E207=""),"",IF(COUNTIFS(Seances!$A:$A,E207,Seances!$B:$B,F207,Seances!$C:$C,D207)=0,"Séance à créer dans Seances","OK"))</f>
        <v/>
      </c>
      <c r="J207" s="11"/>
      <c r="K207" s="11"/>
    </row>
    <row r="208" customFormat="false" ht="15" hidden="false" customHeight="false" outlineLevel="0" collapsed="false">
      <c r="A208" s="10"/>
      <c r="B208" s="11"/>
      <c r="C208" s="15" t="str">
        <f aca="false">IF(B208="","",IFERROR(INDEX(Achats!$C:$C,MATCH(B208,Achats!$B:$B,0)),"N° inconnu dans Achats"))</f>
        <v/>
      </c>
      <c r="D208" s="15" t="str">
        <f aca="false">IF(B208="","",IFERROR(INDEX(Achats!$F:$F,MATCH(B208,Achats!$B:$B,0)),""))</f>
        <v/>
      </c>
      <c r="E208" s="10"/>
      <c r="F208" s="16"/>
      <c r="G208" s="12"/>
      <c r="H208" s="11"/>
      <c r="I208" s="15" t="str">
        <f aca="false">IF(OR(B208="",E208=""),"",IF(COUNTIFS(Seances!$A:$A,E208,Seances!$B:$B,F208,Seances!$C:$C,D208)=0,"Séance à créer dans Seances","OK"))</f>
        <v/>
      </c>
      <c r="J208" s="11"/>
      <c r="K208" s="11"/>
    </row>
    <row r="209" customFormat="false" ht="15" hidden="false" customHeight="false" outlineLevel="0" collapsed="false">
      <c r="A209" s="10"/>
      <c r="B209" s="11"/>
      <c r="C209" s="15" t="str">
        <f aca="false">IF(B209="","",IFERROR(INDEX(Achats!$C:$C,MATCH(B209,Achats!$B:$B,0)),"N° inconnu dans Achats"))</f>
        <v/>
      </c>
      <c r="D209" s="15" t="str">
        <f aca="false">IF(B209="","",IFERROR(INDEX(Achats!$F:$F,MATCH(B209,Achats!$B:$B,0)),""))</f>
        <v/>
      </c>
      <c r="E209" s="10"/>
      <c r="F209" s="16"/>
      <c r="G209" s="12"/>
      <c r="H209" s="11"/>
      <c r="I209" s="15" t="str">
        <f aca="false">IF(OR(B209="",E209=""),"",IF(COUNTIFS(Seances!$A:$A,E209,Seances!$B:$B,F209,Seances!$C:$C,D209)=0,"Séance à créer dans Seances","OK"))</f>
        <v/>
      </c>
      <c r="J209" s="11"/>
      <c r="K209" s="11"/>
    </row>
    <row r="210" customFormat="false" ht="15" hidden="false" customHeight="false" outlineLevel="0" collapsed="false">
      <c r="A210" s="10"/>
      <c r="B210" s="11"/>
      <c r="C210" s="15" t="str">
        <f aca="false">IF(B210="","",IFERROR(INDEX(Achats!$C:$C,MATCH(B210,Achats!$B:$B,0)),"N° inconnu dans Achats"))</f>
        <v/>
      </c>
      <c r="D210" s="15" t="str">
        <f aca="false">IF(B210="","",IFERROR(INDEX(Achats!$F:$F,MATCH(B210,Achats!$B:$B,0)),""))</f>
        <v/>
      </c>
      <c r="E210" s="10"/>
      <c r="F210" s="16"/>
      <c r="G210" s="12"/>
      <c r="H210" s="11"/>
      <c r="I210" s="15" t="str">
        <f aca="false">IF(OR(B210="",E210=""),"",IF(COUNTIFS(Seances!$A:$A,E210,Seances!$B:$B,F210,Seances!$C:$C,D210)=0,"Séance à créer dans Seances","OK"))</f>
        <v/>
      </c>
      <c r="J210" s="11"/>
      <c r="K210" s="11"/>
    </row>
    <row r="211" customFormat="false" ht="15" hidden="false" customHeight="false" outlineLevel="0" collapsed="false">
      <c r="A211" s="10"/>
      <c r="B211" s="11"/>
      <c r="C211" s="15" t="str">
        <f aca="false">IF(B211="","",IFERROR(INDEX(Achats!$C:$C,MATCH(B211,Achats!$B:$B,0)),"N° inconnu dans Achats"))</f>
        <v/>
      </c>
      <c r="D211" s="15" t="str">
        <f aca="false">IF(B211="","",IFERROR(INDEX(Achats!$F:$F,MATCH(B211,Achats!$B:$B,0)),""))</f>
        <v/>
      </c>
      <c r="E211" s="10"/>
      <c r="F211" s="16"/>
      <c r="G211" s="12"/>
      <c r="H211" s="11"/>
      <c r="I211" s="15" t="str">
        <f aca="false">IF(OR(B211="",E211=""),"",IF(COUNTIFS(Seances!$A:$A,E211,Seances!$B:$B,F211,Seances!$C:$C,D211)=0,"Séance à créer dans Seances","OK"))</f>
        <v/>
      </c>
      <c r="J211" s="11"/>
      <c r="K211" s="11"/>
    </row>
    <row r="212" customFormat="false" ht="15" hidden="false" customHeight="false" outlineLevel="0" collapsed="false">
      <c r="A212" s="10"/>
      <c r="B212" s="11"/>
      <c r="C212" s="15" t="str">
        <f aca="false">IF(B212="","",IFERROR(INDEX(Achats!$C:$C,MATCH(B212,Achats!$B:$B,0)),"N° inconnu dans Achats"))</f>
        <v/>
      </c>
      <c r="D212" s="15" t="str">
        <f aca="false">IF(B212="","",IFERROR(INDEX(Achats!$F:$F,MATCH(B212,Achats!$B:$B,0)),""))</f>
        <v/>
      </c>
      <c r="E212" s="10"/>
      <c r="F212" s="16"/>
      <c r="G212" s="12"/>
      <c r="H212" s="11"/>
      <c r="I212" s="15" t="str">
        <f aca="false">IF(OR(B212="",E212=""),"",IF(COUNTIFS(Seances!$A:$A,E212,Seances!$B:$B,F212,Seances!$C:$C,D212)=0,"Séance à créer dans Seances","OK"))</f>
        <v/>
      </c>
      <c r="J212" s="11"/>
      <c r="K212" s="11"/>
    </row>
    <row r="213" customFormat="false" ht="15" hidden="false" customHeight="false" outlineLevel="0" collapsed="false">
      <c r="A213" s="10"/>
      <c r="B213" s="11"/>
      <c r="C213" s="15" t="str">
        <f aca="false">IF(B213="","",IFERROR(INDEX(Achats!$C:$C,MATCH(B213,Achats!$B:$B,0)),"N° inconnu dans Achats"))</f>
        <v/>
      </c>
      <c r="D213" s="15" t="str">
        <f aca="false">IF(B213="","",IFERROR(INDEX(Achats!$F:$F,MATCH(B213,Achats!$B:$B,0)),""))</f>
        <v/>
      </c>
      <c r="E213" s="10"/>
      <c r="F213" s="16"/>
      <c r="G213" s="12"/>
      <c r="H213" s="11"/>
      <c r="I213" s="15" t="str">
        <f aca="false">IF(OR(B213="",E213=""),"",IF(COUNTIFS(Seances!$A:$A,E213,Seances!$B:$B,F213,Seances!$C:$C,D213)=0,"Séance à créer dans Seances","OK"))</f>
        <v/>
      </c>
      <c r="J213" s="11"/>
      <c r="K213" s="11"/>
    </row>
    <row r="214" customFormat="false" ht="15" hidden="false" customHeight="false" outlineLevel="0" collapsed="false">
      <c r="A214" s="10"/>
      <c r="B214" s="11"/>
      <c r="C214" s="15" t="str">
        <f aca="false">IF(B214="","",IFERROR(INDEX(Achats!$C:$C,MATCH(B214,Achats!$B:$B,0)),"N° inconnu dans Achats"))</f>
        <v/>
      </c>
      <c r="D214" s="15" t="str">
        <f aca="false">IF(B214="","",IFERROR(INDEX(Achats!$F:$F,MATCH(B214,Achats!$B:$B,0)),""))</f>
        <v/>
      </c>
      <c r="E214" s="10"/>
      <c r="F214" s="16"/>
      <c r="G214" s="12"/>
      <c r="H214" s="11"/>
      <c r="I214" s="15" t="str">
        <f aca="false">IF(OR(B214="",E214=""),"",IF(COUNTIFS(Seances!$A:$A,E214,Seances!$B:$B,F214,Seances!$C:$C,D214)=0,"Séance à créer dans Seances","OK"))</f>
        <v/>
      </c>
      <c r="J214" s="11"/>
      <c r="K214" s="11"/>
    </row>
    <row r="215" customFormat="false" ht="15" hidden="false" customHeight="false" outlineLevel="0" collapsed="false">
      <c r="A215" s="10"/>
      <c r="B215" s="11"/>
      <c r="C215" s="15" t="str">
        <f aca="false">IF(B215="","",IFERROR(INDEX(Achats!$C:$C,MATCH(B215,Achats!$B:$B,0)),"N° inconnu dans Achats"))</f>
        <v/>
      </c>
      <c r="D215" s="15" t="str">
        <f aca="false">IF(B215="","",IFERROR(INDEX(Achats!$F:$F,MATCH(B215,Achats!$B:$B,0)),""))</f>
        <v/>
      </c>
      <c r="E215" s="10"/>
      <c r="F215" s="16"/>
      <c r="G215" s="12"/>
      <c r="H215" s="11"/>
      <c r="I215" s="15" t="str">
        <f aca="false">IF(OR(B215="",E215=""),"",IF(COUNTIFS(Seances!$A:$A,E215,Seances!$B:$B,F215,Seances!$C:$C,D215)=0,"Séance à créer dans Seances","OK"))</f>
        <v/>
      </c>
      <c r="J215" s="11"/>
      <c r="K215" s="11"/>
    </row>
    <row r="216" customFormat="false" ht="15" hidden="false" customHeight="false" outlineLevel="0" collapsed="false">
      <c r="A216" s="10"/>
      <c r="B216" s="11"/>
      <c r="C216" s="15" t="str">
        <f aca="false">IF(B216="","",IFERROR(INDEX(Achats!$C:$C,MATCH(B216,Achats!$B:$B,0)),"N° inconnu dans Achats"))</f>
        <v/>
      </c>
      <c r="D216" s="15" t="str">
        <f aca="false">IF(B216="","",IFERROR(INDEX(Achats!$F:$F,MATCH(B216,Achats!$B:$B,0)),""))</f>
        <v/>
      </c>
      <c r="E216" s="10"/>
      <c r="F216" s="16"/>
      <c r="G216" s="12"/>
      <c r="H216" s="11"/>
      <c r="I216" s="15" t="str">
        <f aca="false">IF(OR(B216="",E216=""),"",IF(COUNTIFS(Seances!$A:$A,E216,Seances!$B:$B,F216,Seances!$C:$C,D216)=0,"Séance à créer dans Seances","OK"))</f>
        <v/>
      </c>
      <c r="J216" s="11"/>
      <c r="K216" s="11"/>
    </row>
    <row r="217" customFormat="false" ht="15" hidden="false" customHeight="false" outlineLevel="0" collapsed="false">
      <c r="A217" s="10"/>
      <c r="B217" s="11"/>
      <c r="C217" s="15" t="str">
        <f aca="false">IF(B217="","",IFERROR(INDEX(Achats!$C:$C,MATCH(B217,Achats!$B:$B,0)),"N° inconnu dans Achats"))</f>
        <v/>
      </c>
      <c r="D217" s="15" t="str">
        <f aca="false">IF(B217="","",IFERROR(INDEX(Achats!$F:$F,MATCH(B217,Achats!$B:$B,0)),""))</f>
        <v/>
      </c>
      <c r="E217" s="10"/>
      <c r="F217" s="16"/>
      <c r="G217" s="12"/>
      <c r="H217" s="11"/>
      <c r="I217" s="15" t="str">
        <f aca="false">IF(OR(B217="",E217=""),"",IF(COUNTIFS(Seances!$A:$A,E217,Seances!$B:$B,F217,Seances!$C:$C,D217)=0,"Séance à créer dans Seances","OK"))</f>
        <v/>
      </c>
      <c r="J217" s="11"/>
      <c r="K217" s="11"/>
    </row>
    <row r="218" customFormat="false" ht="15" hidden="false" customHeight="false" outlineLevel="0" collapsed="false">
      <c r="A218" s="10"/>
      <c r="B218" s="11"/>
      <c r="C218" s="15" t="str">
        <f aca="false">IF(B218="","",IFERROR(INDEX(Achats!$C:$C,MATCH(B218,Achats!$B:$B,0)),"N° inconnu dans Achats"))</f>
        <v/>
      </c>
      <c r="D218" s="15" t="str">
        <f aca="false">IF(B218="","",IFERROR(INDEX(Achats!$F:$F,MATCH(B218,Achats!$B:$B,0)),""))</f>
        <v/>
      </c>
      <c r="E218" s="10"/>
      <c r="F218" s="16"/>
      <c r="G218" s="12"/>
      <c r="H218" s="11"/>
      <c r="I218" s="15" t="str">
        <f aca="false">IF(OR(B218="",E218=""),"",IF(COUNTIFS(Seances!$A:$A,E218,Seances!$B:$B,F218,Seances!$C:$C,D218)=0,"Séance à créer dans Seances","OK"))</f>
        <v/>
      </c>
      <c r="J218" s="11"/>
      <c r="K218" s="11"/>
    </row>
    <row r="219" customFormat="false" ht="15" hidden="false" customHeight="false" outlineLevel="0" collapsed="false">
      <c r="A219" s="10"/>
      <c r="B219" s="11"/>
      <c r="C219" s="15" t="str">
        <f aca="false">IF(B219="","",IFERROR(INDEX(Achats!$C:$C,MATCH(B219,Achats!$B:$B,0)),"N° inconnu dans Achats"))</f>
        <v/>
      </c>
      <c r="D219" s="15" t="str">
        <f aca="false">IF(B219="","",IFERROR(INDEX(Achats!$F:$F,MATCH(B219,Achats!$B:$B,0)),""))</f>
        <v/>
      </c>
      <c r="E219" s="10"/>
      <c r="F219" s="16"/>
      <c r="G219" s="12"/>
      <c r="H219" s="11"/>
      <c r="I219" s="15" t="str">
        <f aca="false">IF(OR(B219="",E219=""),"",IF(COUNTIFS(Seances!$A:$A,E219,Seances!$B:$B,F219,Seances!$C:$C,D219)=0,"Séance à créer dans Seances","OK"))</f>
        <v/>
      </c>
      <c r="J219" s="11"/>
      <c r="K219" s="11"/>
    </row>
    <row r="220" customFormat="false" ht="15" hidden="false" customHeight="false" outlineLevel="0" collapsed="false">
      <c r="A220" s="10"/>
      <c r="B220" s="11"/>
      <c r="C220" s="15" t="str">
        <f aca="false">IF(B220="","",IFERROR(INDEX(Achats!$C:$C,MATCH(B220,Achats!$B:$B,0)),"N° inconnu dans Achats"))</f>
        <v/>
      </c>
      <c r="D220" s="15" t="str">
        <f aca="false">IF(B220="","",IFERROR(INDEX(Achats!$F:$F,MATCH(B220,Achats!$B:$B,0)),""))</f>
        <v/>
      </c>
      <c r="E220" s="10"/>
      <c r="F220" s="16"/>
      <c r="G220" s="12"/>
      <c r="H220" s="11"/>
      <c r="I220" s="15" t="str">
        <f aca="false">IF(OR(B220="",E220=""),"",IF(COUNTIFS(Seances!$A:$A,E220,Seances!$B:$B,F220,Seances!$C:$C,D220)=0,"Séance à créer dans Seances","OK"))</f>
        <v/>
      </c>
      <c r="J220" s="11"/>
      <c r="K220" s="11"/>
    </row>
    <row r="221" customFormat="false" ht="15" hidden="false" customHeight="false" outlineLevel="0" collapsed="false">
      <c r="A221" s="10"/>
      <c r="B221" s="11"/>
      <c r="C221" s="15" t="str">
        <f aca="false">IF(B221="","",IFERROR(INDEX(Achats!$C:$C,MATCH(B221,Achats!$B:$B,0)),"N° inconnu dans Achats"))</f>
        <v/>
      </c>
      <c r="D221" s="15" t="str">
        <f aca="false">IF(B221="","",IFERROR(INDEX(Achats!$F:$F,MATCH(B221,Achats!$B:$B,0)),""))</f>
        <v/>
      </c>
      <c r="E221" s="10"/>
      <c r="F221" s="16"/>
      <c r="G221" s="12"/>
      <c r="H221" s="11"/>
      <c r="I221" s="15" t="str">
        <f aca="false">IF(OR(B221="",E221=""),"",IF(COUNTIFS(Seances!$A:$A,E221,Seances!$B:$B,F221,Seances!$C:$C,D221)=0,"Séance à créer dans Seances","OK"))</f>
        <v/>
      </c>
      <c r="J221" s="11"/>
      <c r="K221" s="11"/>
    </row>
    <row r="222" customFormat="false" ht="15" hidden="false" customHeight="false" outlineLevel="0" collapsed="false">
      <c r="A222" s="10"/>
      <c r="B222" s="11"/>
      <c r="C222" s="15" t="str">
        <f aca="false">IF(B222="","",IFERROR(INDEX(Achats!$C:$C,MATCH(B222,Achats!$B:$B,0)),"N° inconnu dans Achats"))</f>
        <v/>
      </c>
      <c r="D222" s="15" t="str">
        <f aca="false">IF(B222="","",IFERROR(INDEX(Achats!$F:$F,MATCH(B222,Achats!$B:$B,0)),""))</f>
        <v/>
      </c>
      <c r="E222" s="10"/>
      <c r="F222" s="16"/>
      <c r="G222" s="12"/>
      <c r="H222" s="11"/>
      <c r="I222" s="15" t="str">
        <f aca="false">IF(OR(B222="",E222=""),"",IF(COUNTIFS(Seances!$A:$A,E222,Seances!$B:$B,F222,Seances!$C:$C,D222)=0,"Séance à créer dans Seances","OK"))</f>
        <v/>
      </c>
      <c r="J222" s="11"/>
      <c r="K222" s="11"/>
    </row>
    <row r="223" customFormat="false" ht="15" hidden="false" customHeight="false" outlineLevel="0" collapsed="false">
      <c r="A223" s="10"/>
      <c r="B223" s="11"/>
      <c r="C223" s="15" t="str">
        <f aca="false">IF(B223="","",IFERROR(INDEX(Achats!$C:$C,MATCH(B223,Achats!$B:$B,0)),"N° inconnu dans Achats"))</f>
        <v/>
      </c>
      <c r="D223" s="15" t="str">
        <f aca="false">IF(B223="","",IFERROR(INDEX(Achats!$F:$F,MATCH(B223,Achats!$B:$B,0)),""))</f>
        <v/>
      </c>
      <c r="E223" s="10"/>
      <c r="F223" s="16"/>
      <c r="G223" s="12"/>
      <c r="H223" s="11"/>
      <c r="I223" s="15" t="str">
        <f aca="false">IF(OR(B223="",E223=""),"",IF(COUNTIFS(Seances!$A:$A,E223,Seances!$B:$B,F223,Seances!$C:$C,D223)=0,"Séance à créer dans Seances","OK"))</f>
        <v/>
      </c>
      <c r="J223" s="11"/>
      <c r="K223" s="11"/>
    </row>
    <row r="224" customFormat="false" ht="15" hidden="false" customHeight="false" outlineLevel="0" collapsed="false">
      <c r="A224" s="10"/>
      <c r="B224" s="11"/>
      <c r="C224" s="15" t="str">
        <f aca="false">IF(B224="","",IFERROR(INDEX(Achats!$C:$C,MATCH(B224,Achats!$B:$B,0)),"N° inconnu dans Achats"))</f>
        <v/>
      </c>
      <c r="D224" s="15" t="str">
        <f aca="false">IF(B224="","",IFERROR(INDEX(Achats!$F:$F,MATCH(B224,Achats!$B:$B,0)),""))</f>
        <v/>
      </c>
      <c r="E224" s="10"/>
      <c r="F224" s="16"/>
      <c r="G224" s="12"/>
      <c r="H224" s="11"/>
      <c r="I224" s="15" t="str">
        <f aca="false">IF(OR(B224="",E224=""),"",IF(COUNTIFS(Seances!$A:$A,E224,Seances!$B:$B,F224,Seances!$C:$C,D224)=0,"Séance à créer dans Seances","OK"))</f>
        <v/>
      </c>
      <c r="J224" s="11"/>
      <c r="K224" s="11"/>
    </row>
    <row r="225" customFormat="false" ht="15" hidden="false" customHeight="false" outlineLevel="0" collapsed="false">
      <c r="A225" s="10"/>
      <c r="B225" s="11"/>
      <c r="C225" s="15" t="str">
        <f aca="false">IF(B225="","",IFERROR(INDEX(Achats!$C:$C,MATCH(B225,Achats!$B:$B,0)),"N° inconnu dans Achats"))</f>
        <v/>
      </c>
      <c r="D225" s="15" t="str">
        <f aca="false">IF(B225="","",IFERROR(INDEX(Achats!$F:$F,MATCH(B225,Achats!$B:$B,0)),""))</f>
        <v/>
      </c>
      <c r="E225" s="10"/>
      <c r="F225" s="16"/>
      <c r="G225" s="12"/>
      <c r="H225" s="11"/>
      <c r="I225" s="15" t="str">
        <f aca="false">IF(OR(B225="",E225=""),"",IF(COUNTIFS(Seances!$A:$A,E225,Seances!$B:$B,F225,Seances!$C:$C,D225)=0,"Séance à créer dans Seances","OK"))</f>
        <v/>
      </c>
      <c r="J225" s="11"/>
      <c r="K225" s="11"/>
    </row>
    <row r="226" customFormat="false" ht="15" hidden="false" customHeight="false" outlineLevel="0" collapsed="false">
      <c r="A226" s="10"/>
      <c r="B226" s="11"/>
      <c r="C226" s="15" t="str">
        <f aca="false">IF(B226="","",IFERROR(INDEX(Achats!$C:$C,MATCH(B226,Achats!$B:$B,0)),"N° inconnu dans Achats"))</f>
        <v/>
      </c>
      <c r="D226" s="15" t="str">
        <f aca="false">IF(B226="","",IFERROR(INDEX(Achats!$F:$F,MATCH(B226,Achats!$B:$B,0)),""))</f>
        <v/>
      </c>
      <c r="E226" s="10"/>
      <c r="F226" s="16"/>
      <c r="G226" s="12"/>
      <c r="H226" s="11"/>
      <c r="I226" s="15" t="str">
        <f aca="false">IF(OR(B226="",E226=""),"",IF(COUNTIFS(Seances!$A:$A,E226,Seances!$B:$B,F226,Seances!$C:$C,D226)=0,"Séance à créer dans Seances","OK"))</f>
        <v/>
      </c>
      <c r="J226" s="11"/>
      <c r="K226" s="11"/>
    </row>
    <row r="227" customFormat="false" ht="15" hidden="false" customHeight="false" outlineLevel="0" collapsed="false">
      <c r="A227" s="10"/>
      <c r="B227" s="11"/>
      <c r="C227" s="15" t="str">
        <f aca="false">IF(B227="","",IFERROR(INDEX(Achats!$C:$C,MATCH(B227,Achats!$B:$B,0)),"N° inconnu dans Achats"))</f>
        <v/>
      </c>
      <c r="D227" s="15" t="str">
        <f aca="false">IF(B227="","",IFERROR(INDEX(Achats!$F:$F,MATCH(B227,Achats!$B:$B,0)),""))</f>
        <v/>
      </c>
      <c r="E227" s="10"/>
      <c r="F227" s="16"/>
      <c r="G227" s="12"/>
      <c r="H227" s="11"/>
      <c r="I227" s="15" t="str">
        <f aca="false">IF(OR(B227="",E227=""),"",IF(COUNTIFS(Seances!$A:$A,E227,Seances!$B:$B,F227,Seances!$C:$C,D227)=0,"Séance à créer dans Seances","OK"))</f>
        <v/>
      </c>
      <c r="J227" s="11"/>
      <c r="K227" s="11"/>
    </row>
    <row r="228" customFormat="false" ht="15" hidden="false" customHeight="false" outlineLevel="0" collapsed="false">
      <c r="A228" s="10"/>
      <c r="B228" s="11"/>
      <c r="C228" s="15" t="str">
        <f aca="false">IF(B228="","",IFERROR(INDEX(Achats!$C:$C,MATCH(B228,Achats!$B:$B,0)),"N° inconnu dans Achats"))</f>
        <v/>
      </c>
      <c r="D228" s="15" t="str">
        <f aca="false">IF(B228="","",IFERROR(INDEX(Achats!$F:$F,MATCH(B228,Achats!$B:$B,0)),""))</f>
        <v/>
      </c>
      <c r="E228" s="10"/>
      <c r="F228" s="16"/>
      <c r="G228" s="12"/>
      <c r="H228" s="11"/>
      <c r="I228" s="15" t="str">
        <f aca="false">IF(OR(B228="",E228=""),"",IF(COUNTIFS(Seances!$A:$A,E228,Seances!$B:$B,F228,Seances!$C:$C,D228)=0,"Séance à créer dans Seances","OK"))</f>
        <v/>
      </c>
      <c r="J228" s="11"/>
      <c r="K228" s="11"/>
    </row>
    <row r="229" customFormat="false" ht="15" hidden="false" customHeight="false" outlineLevel="0" collapsed="false">
      <c r="A229" s="10"/>
      <c r="B229" s="11"/>
      <c r="C229" s="15" t="str">
        <f aca="false">IF(B229="","",IFERROR(INDEX(Achats!$C:$C,MATCH(B229,Achats!$B:$B,0)),"N° inconnu dans Achats"))</f>
        <v/>
      </c>
      <c r="D229" s="15" t="str">
        <f aca="false">IF(B229="","",IFERROR(INDEX(Achats!$F:$F,MATCH(B229,Achats!$B:$B,0)),""))</f>
        <v/>
      </c>
      <c r="E229" s="10"/>
      <c r="F229" s="16"/>
      <c r="G229" s="12"/>
      <c r="H229" s="11"/>
      <c r="I229" s="15" t="str">
        <f aca="false">IF(OR(B229="",E229=""),"",IF(COUNTIFS(Seances!$A:$A,E229,Seances!$B:$B,F229,Seances!$C:$C,D229)=0,"Séance à créer dans Seances","OK"))</f>
        <v/>
      </c>
      <c r="J229" s="11"/>
      <c r="K229" s="11"/>
    </row>
    <row r="230" customFormat="false" ht="15" hidden="false" customHeight="false" outlineLevel="0" collapsed="false">
      <c r="A230" s="10"/>
      <c r="B230" s="11"/>
      <c r="C230" s="15" t="str">
        <f aca="false">IF(B230="","",IFERROR(INDEX(Achats!$C:$C,MATCH(B230,Achats!$B:$B,0)),"N° inconnu dans Achats"))</f>
        <v/>
      </c>
      <c r="D230" s="15" t="str">
        <f aca="false">IF(B230="","",IFERROR(INDEX(Achats!$F:$F,MATCH(B230,Achats!$B:$B,0)),""))</f>
        <v/>
      </c>
      <c r="E230" s="10"/>
      <c r="F230" s="16"/>
      <c r="G230" s="12"/>
      <c r="H230" s="11"/>
      <c r="I230" s="15" t="str">
        <f aca="false">IF(OR(B230="",E230=""),"",IF(COUNTIFS(Seances!$A:$A,E230,Seances!$B:$B,F230,Seances!$C:$C,D230)=0,"Séance à créer dans Seances","OK"))</f>
        <v/>
      </c>
      <c r="J230" s="11"/>
      <c r="K230" s="11"/>
    </row>
    <row r="231" customFormat="false" ht="15" hidden="false" customHeight="false" outlineLevel="0" collapsed="false">
      <c r="A231" s="10"/>
      <c r="B231" s="11"/>
      <c r="C231" s="15" t="str">
        <f aca="false">IF(B231="","",IFERROR(INDEX(Achats!$C:$C,MATCH(B231,Achats!$B:$B,0)),"N° inconnu dans Achats"))</f>
        <v/>
      </c>
      <c r="D231" s="15" t="str">
        <f aca="false">IF(B231="","",IFERROR(INDEX(Achats!$F:$F,MATCH(B231,Achats!$B:$B,0)),""))</f>
        <v/>
      </c>
      <c r="E231" s="10"/>
      <c r="F231" s="16"/>
      <c r="G231" s="12"/>
      <c r="H231" s="11"/>
      <c r="I231" s="15" t="str">
        <f aca="false">IF(OR(B231="",E231=""),"",IF(COUNTIFS(Seances!$A:$A,E231,Seances!$B:$B,F231,Seances!$C:$C,D231)=0,"Séance à créer dans Seances","OK"))</f>
        <v/>
      </c>
      <c r="J231" s="11"/>
      <c r="K231" s="11"/>
    </row>
    <row r="232" customFormat="false" ht="15" hidden="false" customHeight="false" outlineLevel="0" collapsed="false">
      <c r="A232" s="10"/>
      <c r="B232" s="11"/>
      <c r="C232" s="15" t="str">
        <f aca="false">IF(B232="","",IFERROR(INDEX(Achats!$C:$C,MATCH(B232,Achats!$B:$B,0)),"N° inconnu dans Achats"))</f>
        <v/>
      </c>
      <c r="D232" s="15" t="str">
        <f aca="false">IF(B232="","",IFERROR(INDEX(Achats!$F:$F,MATCH(B232,Achats!$B:$B,0)),""))</f>
        <v/>
      </c>
      <c r="E232" s="10"/>
      <c r="F232" s="16"/>
      <c r="G232" s="12"/>
      <c r="H232" s="11"/>
      <c r="I232" s="15" t="str">
        <f aca="false">IF(OR(B232="",E232=""),"",IF(COUNTIFS(Seances!$A:$A,E232,Seances!$B:$B,F232,Seances!$C:$C,D232)=0,"Séance à créer dans Seances","OK"))</f>
        <v/>
      </c>
      <c r="J232" s="11"/>
      <c r="K232" s="11"/>
    </row>
    <row r="233" customFormat="false" ht="15" hidden="false" customHeight="false" outlineLevel="0" collapsed="false">
      <c r="A233" s="10"/>
      <c r="B233" s="11"/>
      <c r="C233" s="15" t="str">
        <f aca="false">IF(B233="","",IFERROR(INDEX(Achats!$C:$C,MATCH(B233,Achats!$B:$B,0)),"N° inconnu dans Achats"))</f>
        <v/>
      </c>
      <c r="D233" s="15" t="str">
        <f aca="false">IF(B233="","",IFERROR(INDEX(Achats!$F:$F,MATCH(B233,Achats!$B:$B,0)),""))</f>
        <v/>
      </c>
      <c r="E233" s="10"/>
      <c r="F233" s="16"/>
      <c r="G233" s="12"/>
      <c r="H233" s="11"/>
      <c r="I233" s="15" t="str">
        <f aca="false">IF(OR(B233="",E233=""),"",IF(COUNTIFS(Seances!$A:$A,E233,Seances!$B:$B,F233,Seances!$C:$C,D233)=0,"Séance à créer dans Seances","OK"))</f>
        <v/>
      </c>
      <c r="J233" s="11"/>
      <c r="K233" s="11"/>
    </row>
    <row r="234" customFormat="false" ht="15" hidden="false" customHeight="false" outlineLevel="0" collapsed="false">
      <c r="A234" s="10"/>
      <c r="B234" s="11"/>
      <c r="C234" s="15" t="str">
        <f aca="false">IF(B234="","",IFERROR(INDEX(Achats!$C:$C,MATCH(B234,Achats!$B:$B,0)),"N° inconnu dans Achats"))</f>
        <v/>
      </c>
      <c r="D234" s="15" t="str">
        <f aca="false">IF(B234="","",IFERROR(INDEX(Achats!$F:$F,MATCH(B234,Achats!$B:$B,0)),""))</f>
        <v/>
      </c>
      <c r="E234" s="10"/>
      <c r="F234" s="16"/>
      <c r="G234" s="12"/>
      <c r="H234" s="11"/>
      <c r="I234" s="15" t="str">
        <f aca="false">IF(OR(B234="",E234=""),"",IF(COUNTIFS(Seances!$A:$A,E234,Seances!$B:$B,F234,Seances!$C:$C,D234)=0,"Séance à créer dans Seances","OK"))</f>
        <v/>
      </c>
      <c r="J234" s="11"/>
      <c r="K234" s="11"/>
    </row>
    <row r="235" customFormat="false" ht="15" hidden="false" customHeight="false" outlineLevel="0" collapsed="false">
      <c r="A235" s="10"/>
      <c r="B235" s="11"/>
      <c r="C235" s="15" t="str">
        <f aca="false">IF(B235="","",IFERROR(INDEX(Achats!$C:$C,MATCH(B235,Achats!$B:$B,0)),"N° inconnu dans Achats"))</f>
        <v/>
      </c>
      <c r="D235" s="15" t="str">
        <f aca="false">IF(B235="","",IFERROR(INDEX(Achats!$F:$F,MATCH(B235,Achats!$B:$B,0)),""))</f>
        <v/>
      </c>
      <c r="E235" s="10"/>
      <c r="F235" s="16"/>
      <c r="G235" s="12"/>
      <c r="H235" s="11"/>
      <c r="I235" s="15" t="str">
        <f aca="false">IF(OR(B235="",E235=""),"",IF(COUNTIFS(Seances!$A:$A,E235,Seances!$B:$B,F235,Seances!$C:$C,D235)=0,"Séance à créer dans Seances","OK"))</f>
        <v/>
      </c>
      <c r="J235" s="11"/>
      <c r="K235" s="11"/>
    </row>
    <row r="236" customFormat="false" ht="15" hidden="false" customHeight="false" outlineLevel="0" collapsed="false">
      <c r="A236" s="10"/>
      <c r="B236" s="11"/>
      <c r="C236" s="15" t="str">
        <f aca="false">IF(B236="","",IFERROR(INDEX(Achats!$C:$C,MATCH(B236,Achats!$B:$B,0)),"N° inconnu dans Achats"))</f>
        <v/>
      </c>
      <c r="D236" s="15" t="str">
        <f aca="false">IF(B236="","",IFERROR(INDEX(Achats!$F:$F,MATCH(B236,Achats!$B:$B,0)),""))</f>
        <v/>
      </c>
      <c r="E236" s="10"/>
      <c r="F236" s="16"/>
      <c r="G236" s="12"/>
      <c r="H236" s="11"/>
      <c r="I236" s="15" t="str">
        <f aca="false">IF(OR(B236="",E236=""),"",IF(COUNTIFS(Seances!$A:$A,E236,Seances!$B:$B,F236,Seances!$C:$C,D236)=0,"Séance à créer dans Seances","OK"))</f>
        <v/>
      </c>
      <c r="J236" s="11"/>
      <c r="K236" s="11"/>
    </row>
    <row r="237" customFormat="false" ht="15" hidden="false" customHeight="false" outlineLevel="0" collapsed="false">
      <c r="A237" s="10"/>
      <c r="B237" s="11"/>
      <c r="C237" s="15" t="str">
        <f aca="false">IF(B237="","",IFERROR(INDEX(Achats!$C:$C,MATCH(B237,Achats!$B:$B,0)),"N° inconnu dans Achats"))</f>
        <v/>
      </c>
      <c r="D237" s="15" t="str">
        <f aca="false">IF(B237="","",IFERROR(INDEX(Achats!$F:$F,MATCH(B237,Achats!$B:$B,0)),""))</f>
        <v/>
      </c>
      <c r="E237" s="10"/>
      <c r="F237" s="16"/>
      <c r="G237" s="12"/>
      <c r="H237" s="11"/>
      <c r="I237" s="15" t="str">
        <f aca="false">IF(OR(B237="",E237=""),"",IF(COUNTIFS(Seances!$A:$A,E237,Seances!$B:$B,F237,Seances!$C:$C,D237)=0,"Séance à créer dans Seances","OK"))</f>
        <v/>
      </c>
      <c r="J237" s="11"/>
      <c r="K237" s="11"/>
    </row>
    <row r="238" customFormat="false" ht="15" hidden="false" customHeight="false" outlineLevel="0" collapsed="false">
      <c r="A238" s="10"/>
      <c r="B238" s="11"/>
      <c r="C238" s="15" t="str">
        <f aca="false">IF(B238="","",IFERROR(INDEX(Achats!$C:$C,MATCH(B238,Achats!$B:$B,0)),"N° inconnu dans Achats"))</f>
        <v/>
      </c>
      <c r="D238" s="15" t="str">
        <f aca="false">IF(B238="","",IFERROR(INDEX(Achats!$F:$F,MATCH(B238,Achats!$B:$B,0)),""))</f>
        <v/>
      </c>
      <c r="E238" s="10"/>
      <c r="F238" s="16"/>
      <c r="G238" s="12"/>
      <c r="H238" s="11"/>
      <c r="I238" s="15" t="str">
        <f aca="false">IF(OR(B238="",E238=""),"",IF(COUNTIFS(Seances!$A:$A,E238,Seances!$B:$B,F238,Seances!$C:$C,D238)=0,"Séance à créer dans Seances","OK"))</f>
        <v/>
      </c>
      <c r="J238" s="11"/>
      <c r="K238" s="11"/>
    </row>
    <row r="239" customFormat="false" ht="15" hidden="false" customHeight="false" outlineLevel="0" collapsed="false">
      <c r="A239" s="10"/>
      <c r="B239" s="11"/>
      <c r="C239" s="15" t="str">
        <f aca="false">IF(B239="","",IFERROR(INDEX(Achats!$C:$C,MATCH(B239,Achats!$B:$B,0)),"N° inconnu dans Achats"))</f>
        <v/>
      </c>
      <c r="D239" s="15" t="str">
        <f aca="false">IF(B239="","",IFERROR(INDEX(Achats!$F:$F,MATCH(B239,Achats!$B:$B,0)),""))</f>
        <v/>
      </c>
      <c r="E239" s="10"/>
      <c r="F239" s="16"/>
      <c r="G239" s="12"/>
      <c r="H239" s="11"/>
      <c r="I239" s="15" t="str">
        <f aca="false">IF(OR(B239="",E239=""),"",IF(COUNTIFS(Seances!$A:$A,E239,Seances!$B:$B,F239,Seances!$C:$C,D239)=0,"Séance à créer dans Seances","OK"))</f>
        <v/>
      </c>
      <c r="J239" s="11"/>
      <c r="K239" s="11"/>
    </row>
    <row r="240" customFormat="false" ht="15" hidden="false" customHeight="false" outlineLevel="0" collapsed="false">
      <c r="A240" s="10"/>
      <c r="B240" s="11"/>
      <c r="C240" s="15" t="str">
        <f aca="false">IF(B240="","",IFERROR(INDEX(Achats!$C:$C,MATCH(B240,Achats!$B:$B,0)),"N° inconnu dans Achats"))</f>
        <v/>
      </c>
      <c r="D240" s="15" t="str">
        <f aca="false">IF(B240="","",IFERROR(INDEX(Achats!$F:$F,MATCH(B240,Achats!$B:$B,0)),""))</f>
        <v/>
      </c>
      <c r="E240" s="10"/>
      <c r="F240" s="16"/>
      <c r="G240" s="12"/>
      <c r="H240" s="11"/>
      <c r="I240" s="15" t="str">
        <f aca="false">IF(OR(B240="",E240=""),"",IF(COUNTIFS(Seances!$A:$A,E240,Seances!$B:$B,F240,Seances!$C:$C,D240)=0,"Séance à créer dans Seances","OK"))</f>
        <v/>
      </c>
      <c r="J240" s="11"/>
      <c r="K240" s="11"/>
    </row>
    <row r="241" customFormat="false" ht="15" hidden="false" customHeight="false" outlineLevel="0" collapsed="false">
      <c r="A241" s="10"/>
      <c r="B241" s="11"/>
      <c r="C241" s="15" t="str">
        <f aca="false">IF(B241="","",IFERROR(INDEX(Achats!$C:$C,MATCH(B241,Achats!$B:$B,0)),"N° inconnu dans Achats"))</f>
        <v/>
      </c>
      <c r="D241" s="15" t="str">
        <f aca="false">IF(B241="","",IFERROR(INDEX(Achats!$F:$F,MATCH(B241,Achats!$B:$B,0)),""))</f>
        <v/>
      </c>
      <c r="E241" s="10"/>
      <c r="F241" s="16"/>
      <c r="G241" s="12"/>
      <c r="H241" s="11"/>
      <c r="I241" s="15" t="str">
        <f aca="false">IF(OR(B241="",E241=""),"",IF(COUNTIFS(Seances!$A:$A,E241,Seances!$B:$B,F241,Seances!$C:$C,D241)=0,"Séance à créer dans Seances","OK"))</f>
        <v/>
      </c>
      <c r="J241" s="11"/>
      <c r="K241" s="11"/>
    </row>
    <row r="242" customFormat="false" ht="15" hidden="false" customHeight="false" outlineLevel="0" collapsed="false">
      <c r="A242" s="10"/>
      <c r="B242" s="11"/>
      <c r="C242" s="15" t="str">
        <f aca="false">IF(B242="","",IFERROR(INDEX(Achats!$C:$C,MATCH(B242,Achats!$B:$B,0)),"N° inconnu dans Achats"))</f>
        <v/>
      </c>
      <c r="D242" s="15" t="str">
        <f aca="false">IF(B242="","",IFERROR(INDEX(Achats!$F:$F,MATCH(B242,Achats!$B:$B,0)),""))</f>
        <v/>
      </c>
      <c r="E242" s="10"/>
      <c r="F242" s="16"/>
      <c r="G242" s="12"/>
      <c r="H242" s="11"/>
      <c r="I242" s="15" t="str">
        <f aca="false">IF(OR(B242="",E242=""),"",IF(COUNTIFS(Seances!$A:$A,E242,Seances!$B:$B,F242,Seances!$C:$C,D242)=0,"Séance à créer dans Seances","OK"))</f>
        <v/>
      </c>
      <c r="J242" s="11"/>
      <c r="K242" s="11"/>
    </row>
    <row r="243" customFormat="false" ht="15" hidden="false" customHeight="false" outlineLevel="0" collapsed="false">
      <c r="A243" s="10"/>
      <c r="B243" s="11"/>
      <c r="C243" s="15" t="str">
        <f aca="false">IF(B243="","",IFERROR(INDEX(Achats!$C:$C,MATCH(B243,Achats!$B:$B,0)),"N° inconnu dans Achats"))</f>
        <v/>
      </c>
      <c r="D243" s="15" t="str">
        <f aca="false">IF(B243="","",IFERROR(INDEX(Achats!$F:$F,MATCH(B243,Achats!$B:$B,0)),""))</f>
        <v/>
      </c>
      <c r="E243" s="10"/>
      <c r="F243" s="16"/>
      <c r="G243" s="12"/>
      <c r="H243" s="11"/>
      <c r="I243" s="15" t="str">
        <f aca="false">IF(OR(B243="",E243=""),"",IF(COUNTIFS(Seances!$A:$A,E243,Seances!$B:$B,F243,Seances!$C:$C,D243)=0,"Séance à créer dans Seances","OK"))</f>
        <v/>
      </c>
      <c r="J243" s="11"/>
      <c r="K243" s="11"/>
    </row>
    <row r="244" customFormat="false" ht="15" hidden="false" customHeight="false" outlineLevel="0" collapsed="false">
      <c r="A244" s="10"/>
      <c r="B244" s="11"/>
      <c r="C244" s="15" t="str">
        <f aca="false">IF(B244="","",IFERROR(INDEX(Achats!$C:$C,MATCH(B244,Achats!$B:$B,0)),"N° inconnu dans Achats"))</f>
        <v/>
      </c>
      <c r="D244" s="15" t="str">
        <f aca="false">IF(B244="","",IFERROR(INDEX(Achats!$F:$F,MATCH(B244,Achats!$B:$B,0)),""))</f>
        <v/>
      </c>
      <c r="E244" s="10"/>
      <c r="F244" s="16"/>
      <c r="G244" s="12"/>
      <c r="H244" s="11"/>
      <c r="I244" s="15" t="str">
        <f aca="false">IF(OR(B244="",E244=""),"",IF(COUNTIFS(Seances!$A:$A,E244,Seances!$B:$B,F244,Seances!$C:$C,D244)=0,"Séance à créer dans Seances","OK"))</f>
        <v/>
      </c>
      <c r="J244" s="11"/>
      <c r="K244" s="11"/>
    </row>
    <row r="245" customFormat="false" ht="15" hidden="false" customHeight="false" outlineLevel="0" collapsed="false">
      <c r="A245" s="10"/>
      <c r="B245" s="11"/>
      <c r="C245" s="15" t="str">
        <f aca="false">IF(B245="","",IFERROR(INDEX(Achats!$C:$C,MATCH(B245,Achats!$B:$B,0)),"N° inconnu dans Achats"))</f>
        <v/>
      </c>
      <c r="D245" s="15" t="str">
        <f aca="false">IF(B245="","",IFERROR(INDEX(Achats!$F:$F,MATCH(B245,Achats!$B:$B,0)),""))</f>
        <v/>
      </c>
      <c r="E245" s="10"/>
      <c r="F245" s="16"/>
      <c r="G245" s="12"/>
      <c r="H245" s="11"/>
      <c r="I245" s="15" t="str">
        <f aca="false">IF(OR(B245="",E245=""),"",IF(COUNTIFS(Seances!$A:$A,E245,Seances!$B:$B,F245,Seances!$C:$C,D245)=0,"Séance à créer dans Seances","OK"))</f>
        <v/>
      </c>
      <c r="J245" s="11"/>
      <c r="K245" s="11"/>
    </row>
    <row r="246" customFormat="false" ht="15" hidden="false" customHeight="false" outlineLevel="0" collapsed="false">
      <c r="A246" s="10"/>
      <c r="B246" s="11"/>
      <c r="C246" s="15" t="str">
        <f aca="false">IF(B246="","",IFERROR(INDEX(Achats!$C:$C,MATCH(B246,Achats!$B:$B,0)),"N° inconnu dans Achats"))</f>
        <v/>
      </c>
      <c r="D246" s="15" t="str">
        <f aca="false">IF(B246="","",IFERROR(INDEX(Achats!$F:$F,MATCH(B246,Achats!$B:$B,0)),""))</f>
        <v/>
      </c>
      <c r="E246" s="10"/>
      <c r="F246" s="16"/>
      <c r="G246" s="12"/>
      <c r="H246" s="11"/>
      <c r="I246" s="15" t="str">
        <f aca="false">IF(OR(B246="",E246=""),"",IF(COUNTIFS(Seances!$A:$A,E246,Seances!$B:$B,F246,Seances!$C:$C,D246)=0,"Séance à créer dans Seances","OK"))</f>
        <v/>
      </c>
      <c r="J246" s="11"/>
      <c r="K246" s="11"/>
    </row>
    <row r="247" customFormat="false" ht="15" hidden="false" customHeight="false" outlineLevel="0" collapsed="false">
      <c r="A247" s="10"/>
      <c r="B247" s="11"/>
      <c r="C247" s="15" t="str">
        <f aca="false">IF(B247="","",IFERROR(INDEX(Achats!$C:$C,MATCH(B247,Achats!$B:$B,0)),"N° inconnu dans Achats"))</f>
        <v/>
      </c>
      <c r="D247" s="15" t="str">
        <f aca="false">IF(B247="","",IFERROR(INDEX(Achats!$F:$F,MATCH(B247,Achats!$B:$B,0)),""))</f>
        <v/>
      </c>
      <c r="E247" s="10"/>
      <c r="F247" s="16"/>
      <c r="G247" s="12"/>
      <c r="H247" s="11"/>
      <c r="I247" s="15" t="str">
        <f aca="false">IF(OR(B247="",E247=""),"",IF(COUNTIFS(Seances!$A:$A,E247,Seances!$B:$B,F247,Seances!$C:$C,D247)=0,"Séance à créer dans Seances","OK"))</f>
        <v/>
      </c>
      <c r="J247" s="11"/>
      <c r="K247" s="11"/>
    </row>
    <row r="248" customFormat="false" ht="15" hidden="false" customHeight="false" outlineLevel="0" collapsed="false">
      <c r="A248" s="10"/>
      <c r="B248" s="11"/>
      <c r="C248" s="15" t="str">
        <f aca="false">IF(B248="","",IFERROR(INDEX(Achats!$C:$C,MATCH(B248,Achats!$B:$B,0)),"N° inconnu dans Achats"))</f>
        <v/>
      </c>
      <c r="D248" s="15" t="str">
        <f aca="false">IF(B248="","",IFERROR(INDEX(Achats!$F:$F,MATCH(B248,Achats!$B:$B,0)),""))</f>
        <v/>
      </c>
      <c r="E248" s="10"/>
      <c r="F248" s="16"/>
      <c r="G248" s="12"/>
      <c r="H248" s="11"/>
      <c r="I248" s="15" t="str">
        <f aca="false">IF(OR(B248="",E248=""),"",IF(COUNTIFS(Seances!$A:$A,E248,Seances!$B:$B,F248,Seances!$C:$C,D248)=0,"Séance à créer dans Seances","OK"))</f>
        <v/>
      </c>
      <c r="J248" s="11"/>
      <c r="K248" s="11"/>
    </row>
    <row r="249" customFormat="false" ht="15" hidden="false" customHeight="false" outlineLevel="0" collapsed="false">
      <c r="A249" s="10"/>
      <c r="B249" s="11"/>
      <c r="C249" s="15" t="str">
        <f aca="false">IF(B249="","",IFERROR(INDEX(Achats!$C:$C,MATCH(B249,Achats!$B:$B,0)),"N° inconnu dans Achats"))</f>
        <v/>
      </c>
      <c r="D249" s="15" t="str">
        <f aca="false">IF(B249="","",IFERROR(INDEX(Achats!$F:$F,MATCH(B249,Achats!$B:$B,0)),""))</f>
        <v/>
      </c>
      <c r="E249" s="10"/>
      <c r="F249" s="16"/>
      <c r="G249" s="12"/>
      <c r="H249" s="11"/>
      <c r="I249" s="15" t="str">
        <f aca="false">IF(OR(B249="",E249=""),"",IF(COUNTIFS(Seances!$A:$A,E249,Seances!$B:$B,F249,Seances!$C:$C,D249)=0,"Séance à créer dans Seances","OK"))</f>
        <v/>
      </c>
      <c r="J249" s="11"/>
      <c r="K249" s="11"/>
    </row>
    <row r="250" customFormat="false" ht="15" hidden="false" customHeight="false" outlineLevel="0" collapsed="false">
      <c r="A250" s="10"/>
      <c r="B250" s="11"/>
      <c r="C250" s="15" t="str">
        <f aca="false">IF(B250="","",IFERROR(INDEX(Achats!$C:$C,MATCH(B250,Achats!$B:$B,0)),"N° inconnu dans Achats"))</f>
        <v/>
      </c>
      <c r="D250" s="15" t="str">
        <f aca="false">IF(B250="","",IFERROR(INDEX(Achats!$F:$F,MATCH(B250,Achats!$B:$B,0)),""))</f>
        <v/>
      </c>
      <c r="E250" s="10"/>
      <c r="F250" s="16"/>
      <c r="G250" s="12"/>
      <c r="H250" s="11"/>
      <c r="I250" s="15" t="str">
        <f aca="false">IF(OR(B250="",E250=""),"",IF(COUNTIFS(Seances!$A:$A,E250,Seances!$B:$B,F250,Seances!$C:$C,D250)=0,"Séance à créer dans Seances","OK"))</f>
        <v/>
      </c>
      <c r="J250" s="11"/>
      <c r="K250" s="11"/>
    </row>
    <row r="251" customFormat="false" ht="15" hidden="false" customHeight="false" outlineLevel="0" collapsed="false">
      <c r="A251" s="10"/>
      <c r="B251" s="11"/>
      <c r="C251" s="15" t="str">
        <f aca="false">IF(B251="","",IFERROR(INDEX(Achats!$C:$C,MATCH(B251,Achats!$B:$B,0)),"N° inconnu dans Achats"))</f>
        <v/>
      </c>
      <c r="D251" s="15" t="str">
        <f aca="false">IF(B251="","",IFERROR(INDEX(Achats!$F:$F,MATCH(B251,Achats!$B:$B,0)),""))</f>
        <v/>
      </c>
      <c r="E251" s="10"/>
      <c r="F251" s="16"/>
      <c r="G251" s="12"/>
      <c r="H251" s="11"/>
      <c r="I251" s="15" t="str">
        <f aca="false">IF(OR(B251="",E251=""),"",IF(COUNTIFS(Seances!$A:$A,E251,Seances!$B:$B,F251,Seances!$C:$C,D251)=0,"Séance à créer dans Seances","OK"))</f>
        <v/>
      </c>
      <c r="J251" s="11"/>
      <c r="K251" s="11"/>
    </row>
    <row r="252" customFormat="false" ht="15" hidden="false" customHeight="false" outlineLevel="0" collapsed="false">
      <c r="A252" s="10"/>
      <c r="B252" s="11"/>
      <c r="C252" s="15" t="str">
        <f aca="false">IF(B252="","",IFERROR(INDEX(Achats!$C:$C,MATCH(B252,Achats!$B:$B,0)),"N° inconnu dans Achats"))</f>
        <v/>
      </c>
      <c r="D252" s="15" t="str">
        <f aca="false">IF(B252="","",IFERROR(INDEX(Achats!$F:$F,MATCH(B252,Achats!$B:$B,0)),""))</f>
        <v/>
      </c>
      <c r="E252" s="10"/>
      <c r="F252" s="16"/>
      <c r="G252" s="12"/>
      <c r="H252" s="11"/>
      <c r="I252" s="15" t="str">
        <f aca="false">IF(OR(B252="",E252=""),"",IF(COUNTIFS(Seances!$A:$A,E252,Seances!$B:$B,F252,Seances!$C:$C,D252)=0,"Séance à créer dans Seances","OK"))</f>
        <v/>
      </c>
      <c r="J252" s="11"/>
      <c r="K252" s="11"/>
    </row>
    <row r="253" customFormat="false" ht="15" hidden="false" customHeight="false" outlineLevel="0" collapsed="false">
      <c r="A253" s="10"/>
      <c r="B253" s="11"/>
      <c r="C253" s="15" t="str">
        <f aca="false">IF(B253="","",IFERROR(INDEX(Achats!$C:$C,MATCH(B253,Achats!$B:$B,0)),"N° inconnu dans Achats"))</f>
        <v/>
      </c>
      <c r="D253" s="15" t="str">
        <f aca="false">IF(B253="","",IFERROR(INDEX(Achats!$F:$F,MATCH(B253,Achats!$B:$B,0)),""))</f>
        <v/>
      </c>
      <c r="E253" s="10"/>
      <c r="F253" s="16"/>
      <c r="G253" s="12"/>
      <c r="H253" s="11"/>
      <c r="I253" s="15" t="str">
        <f aca="false">IF(OR(B253="",E253=""),"",IF(COUNTIFS(Seances!$A:$A,E253,Seances!$B:$B,F253,Seances!$C:$C,D253)=0,"Séance à créer dans Seances","OK"))</f>
        <v/>
      </c>
      <c r="J253" s="11"/>
      <c r="K253" s="11"/>
    </row>
    <row r="254" customFormat="false" ht="15" hidden="false" customHeight="false" outlineLevel="0" collapsed="false">
      <c r="A254" s="10"/>
      <c r="B254" s="11"/>
      <c r="C254" s="15" t="str">
        <f aca="false">IF(B254="","",IFERROR(INDEX(Achats!$C:$C,MATCH(B254,Achats!$B:$B,0)),"N° inconnu dans Achats"))</f>
        <v/>
      </c>
      <c r="D254" s="15" t="str">
        <f aca="false">IF(B254="","",IFERROR(INDEX(Achats!$F:$F,MATCH(B254,Achats!$B:$B,0)),""))</f>
        <v/>
      </c>
      <c r="E254" s="10"/>
      <c r="F254" s="16"/>
      <c r="G254" s="12"/>
      <c r="H254" s="11"/>
      <c r="I254" s="15" t="str">
        <f aca="false">IF(OR(B254="",E254=""),"",IF(COUNTIFS(Seances!$A:$A,E254,Seances!$B:$B,F254,Seances!$C:$C,D254)=0,"Séance à créer dans Seances","OK"))</f>
        <v/>
      </c>
      <c r="J254" s="11"/>
      <c r="K254" s="11"/>
    </row>
    <row r="255" customFormat="false" ht="15" hidden="false" customHeight="false" outlineLevel="0" collapsed="false">
      <c r="A255" s="10"/>
      <c r="B255" s="11"/>
      <c r="C255" s="15" t="str">
        <f aca="false">IF(B255="","",IFERROR(INDEX(Achats!$C:$C,MATCH(B255,Achats!$B:$B,0)),"N° inconnu dans Achats"))</f>
        <v/>
      </c>
      <c r="D255" s="15" t="str">
        <f aca="false">IF(B255="","",IFERROR(INDEX(Achats!$F:$F,MATCH(B255,Achats!$B:$B,0)),""))</f>
        <v/>
      </c>
      <c r="E255" s="10"/>
      <c r="F255" s="16"/>
      <c r="G255" s="12"/>
      <c r="H255" s="11"/>
      <c r="I255" s="15" t="str">
        <f aca="false">IF(OR(B255="",E255=""),"",IF(COUNTIFS(Seances!$A:$A,E255,Seances!$B:$B,F255,Seances!$C:$C,D255)=0,"Séance à créer dans Seances","OK"))</f>
        <v/>
      </c>
      <c r="J255" s="11"/>
      <c r="K255" s="11"/>
    </row>
    <row r="256" customFormat="false" ht="15" hidden="false" customHeight="false" outlineLevel="0" collapsed="false">
      <c r="A256" s="10"/>
      <c r="B256" s="11"/>
      <c r="C256" s="15" t="str">
        <f aca="false">IF(B256="","",IFERROR(INDEX(Achats!$C:$C,MATCH(B256,Achats!$B:$B,0)),"N° inconnu dans Achats"))</f>
        <v/>
      </c>
      <c r="D256" s="15" t="str">
        <f aca="false">IF(B256="","",IFERROR(INDEX(Achats!$F:$F,MATCH(B256,Achats!$B:$B,0)),""))</f>
        <v/>
      </c>
      <c r="E256" s="10"/>
      <c r="F256" s="16"/>
      <c r="G256" s="12"/>
      <c r="H256" s="11"/>
      <c r="I256" s="15" t="str">
        <f aca="false">IF(OR(B256="",E256=""),"",IF(COUNTIFS(Seances!$A:$A,E256,Seances!$B:$B,F256,Seances!$C:$C,D256)=0,"Séance à créer dans Seances","OK"))</f>
        <v/>
      </c>
      <c r="J256" s="11"/>
      <c r="K256" s="11"/>
    </row>
    <row r="257" customFormat="false" ht="15" hidden="false" customHeight="false" outlineLevel="0" collapsed="false">
      <c r="A257" s="10"/>
      <c r="B257" s="11"/>
      <c r="C257" s="15" t="str">
        <f aca="false">IF(B257="","",IFERROR(INDEX(Achats!$C:$C,MATCH(B257,Achats!$B:$B,0)),"N° inconnu dans Achats"))</f>
        <v/>
      </c>
      <c r="D257" s="15" t="str">
        <f aca="false">IF(B257="","",IFERROR(INDEX(Achats!$F:$F,MATCH(B257,Achats!$B:$B,0)),""))</f>
        <v/>
      </c>
      <c r="E257" s="10"/>
      <c r="F257" s="16"/>
      <c r="G257" s="12"/>
      <c r="H257" s="11"/>
      <c r="I257" s="15" t="str">
        <f aca="false">IF(OR(B257="",E257=""),"",IF(COUNTIFS(Seances!$A:$A,E257,Seances!$B:$B,F257,Seances!$C:$C,D257)=0,"Séance à créer dans Seances","OK"))</f>
        <v/>
      </c>
      <c r="J257" s="11"/>
      <c r="K257" s="11"/>
    </row>
    <row r="258" customFormat="false" ht="15" hidden="false" customHeight="false" outlineLevel="0" collapsed="false">
      <c r="A258" s="10"/>
      <c r="B258" s="11"/>
      <c r="C258" s="15" t="str">
        <f aca="false">IF(B258="","",IFERROR(INDEX(Achats!$C:$C,MATCH(B258,Achats!$B:$B,0)),"N° inconnu dans Achats"))</f>
        <v/>
      </c>
      <c r="D258" s="15" t="str">
        <f aca="false">IF(B258="","",IFERROR(INDEX(Achats!$F:$F,MATCH(B258,Achats!$B:$B,0)),""))</f>
        <v/>
      </c>
      <c r="E258" s="10"/>
      <c r="F258" s="16"/>
      <c r="G258" s="12"/>
      <c r="H258" s="11"/>
      <c r="I258" s="15" t="str">
        <f aca="false">IF(OR(B258="",E258=""),"",IF(COUNTIFS(Seances!$A:$A,E258,Seances!$B:$B,F258,Seances!$C:$C,D258)=0,"Séance à créer dans Seances","OK"))</f>
        <v/>
      </c>
      <c r="J258" s="11"/>
      <c r="K258" s="11"/>
    </row>
    <row r="259" customFormat="false" ht="15" hidden="false" customHeight="false" outlineLevel="0" collapsed="false">
      <c r="A259" s="10"/>
      <c r="B259" s="11"/>
      <c r="C259" s="15" t="str">
        <f aca="false">IF(B259="","",IFERROR(INDEX(Achats!$C:$C,MATCH(B259,Achats!$B:$B,0)),"N° inconnu dans Achats"))</f>
        <v/>
      </c>
      <c r="D259" s="15" t="str">
        <f aca="false">IF(B259="","",IFERROR(INDEX(Achats!$F:$F,MATCH(B259,Achats!$B:$B,0)),""))</f>
        <v/>
      </c>
      <c r="E259" s="10"/>
      <c r="F259" s="16"/>
      <c r="G259" s="12"/>
      <c r="H259" s="11"/>
      <c r="I259" s="15" t="str">
        <f aca="false">IF(OR(B259="",E259=""),"",IF(COUNTIFS(Seances!$A:$A,E259,Seances!$B:$B,F259,Seances!$C:$C,D259)=0,"Séance à créer dans Seances","OK"))</f>
        <v/>
      </c>
      <c r="J259" s="11"/>
      <c r="K259" s="11"/>
    </row>
    <row r="260" customFormat="false" ht="15" hidden="false" customHeight="false" outlineLevel="0" collapsed="false">
      <c r="A260" s="10"/>
      <c r="B260" s="11"/>
      <c r="C260" s="15" t="str">
        <f aca="false">IF(B260="","",IFERROR(INDEX(Achats!$C:$C,MATCH(B260,Achats!$B:$B,0)),"N° inconnu dans Achats"))</f>
        <v/>
      </c>
      <c r="D260" s="15" t="str">
        <f aca="false">IF(B260="","",IFERROR(INDEX(Achats!$F:$F,MATCH(B260,Achats!$B:$B,0)),""))</f>
        <v/>
      </c>
      <c r="E260" s="10"/>
      <c r="F260" s="16"/>
      <c r="G260" s="12"/>
      <c r="H260" s="11"/>
      <c r="I260" s="15" t="str">
        <f aca="false">IF(OR(B260="",E260=""),"",IF(COUNTIFS(Seances!$A:$A,E260,Seances!$B:$B,F260,Seances!$C:$C,D260)=0,"Séance à créer dans Seances","OK"))</f>
        <v/>
      </c>
      <c r="J260" s="11"/>
      <c r="K260" s="11"/>
    </row>
    <row r="261" customFormat="false" ht="15" hidden="false" customHeight="false" outlineLevel="0" collapsed="false">
      <c r="A261" s="10"/>
      <c r="B261" s="11"/>
      <c r="C261" s="15" t="str">
        <f aca="false">IF(B261="","",IFERROR(INDEX(Achats!$C:$C,MATCH(B261,Achats!$B:$B,0)),"N° inconnu dans Achats"))</f>
        <v/>
      </c>
      <c r="D261" s="15" t="str">
        <f aca="false">IF(B261="","",IFERROR(INDEX(Achats!$F:$F,MATCH(B261,Achats!$B:$B,0)),""))</f>
        <v/>
      </c>
      <c r="E261" s="10"/>
      <c r="F261" s="16"/>
      <c r="G261" s="12"/>
      <c r="H261" s="11"/>
      <c r="I261" s="15" t="str">
        <f aca="false">IF(OR(B261="",E261=""),"",IF(COUNTIFS(Seances!$A:$A,E261,Seances!$B:$B,F261,Seances!$C:$C,D261)=0,"Séance à créer dans Seances","OK"))</f>
        <v/>
      </c>
      <c r="J261" s="11"/>
      <c r="K261" s="11"/>
    </row>
    <row r="262" customFormat="false" ht="15" hidden="false" customHeight="false" outlineLevel="0" collapsed="false">
      <c r="A262" s="10"/>
      <c r="B262" s="11"/>
      <c r="C262" s="15" t="str">
        <f aca="false">IF(B262="","",IFERROR(INDEX(Achats!$C:$C,MATCH(B262,Achats!$B:$B,0)),"N° inconnu dans Achats"))</f>
        <v/>
      </c>
      <c r="D262" s="15" t="str">
        <f aca="false">IF(B262="","",IFERROR(INDEX(Achats!$F:$F,MATCH(B262,Achats!$B:$B,0)),""))</f>
        <v/>
      </c>
      <c r="E262" s="10"/>
      <c r="F262" s="16"/>
      <c r="G262" s="12"/>
      <c r="H262" s="11"/>
      <c r="I262" s="15" t="str">
        <f aca="false">IF(OR(B262="",E262=""),"",IF(COUNTIFS(Seances!$A:$A,E262,Seances!$B:$B,F262,Seances!$C:$C,D262)=0,"Séance à créer dans Seances","OK"))</f>
        <v/>
      </c>
      <c r="J262" s="11"/>
      <c r="K262" s="11"/>
    </row>
    <row r="263" customFormat="false" ht="15" hidden="false" customHeight="false" outlineLevel="0" collapsed="false">
      <c r="A263" s="10"/>
      <c r="B263" s="11"/>
      <c r="C263" s="15" t="str">
        <f aca="false">IF(B263="","",IFERROR(INDEX(Achats!$C:$C,MATCH(B263,Achats!$B:$B,0)),"N° inconnu dans Achats"))</f>
        <v/>
      </c>
      <c r="D263" s="15" t="str">
        <f aca="false">IF(B263="","",IFERROR(INDEX(Achats!$F:$F,MATCH(B263,Achats!$B:$B,0)),""))</f>
        <v/>
      </c>
      <c r="E263" s="10"/>
      <c r="F263" s="16"/>
      <c r="G263" s="12"/>
      <c r="H263" s="11"/>
      <c r="I263" s="15" t="str">
        <f aca="false">IF(OR(B263="",E263=""),"",IF(COUNTIFS(Seances!$A:$A,E263,Seances!$B:$B,F263,Seances!$C:$C,D263)=0,"Séance à créer dans Seances","OK"))</f>
        <v/>
      </c>
      <c r="J263" s="11"/>
      <c r="K263" s="11"/>
    </row>
    <row r="264" customFormat="false" ht="15" hidden="false" customHeight="false" outlineLevel="0" collapsed="false">
      <c r="A264" s="10"/>
      <c r="B264" s="11"/>
      <c r="C264" s="15" t="str">
        <f aca="false">IF(B264="","",IFERROR(INDEX(Achats!$C:$C,MATCH(B264,Achats!$B:$B,0)),"N° inconnu dans Achats"))</f>
        <v/>
      </c>
      <c r="D264" s="15" t="str">
        <f aca="false">IF(B264="","",IFERROR(INDEX(Achats!$F:$F,MATCH(B264,Achats!$B:$B,0)),""))</f>
        <v/>
      </c>
      <c r="E264" s="10"/>
      <c r="F264" s="16"/>
      <c r="G264" s="12"/>
      <c r="H264" s="11"/>
      <c r="I264" s="15" t="str">
        <f aca="false">IF(OR(B264="",E264=""),"",IF(COUNTIFS(Seances!$A:$A,E264,Seances!$B:$B,F264,Seances!$C:$C,D264)=0,"Séance à créer dans Seances","OK"))</f>
        <v/>
      </c>
      <c r="J264" s="11"/>
      <c r="K264" s="11"/>
    </row>
    <row r="265" customFormat="false" ht="15" hidden="false" customHeight="false" outlineLevel="0" collapsed="false">
      <c r="A265" s="10"/>
      <c r="B265" s="11"/>
      <c r="C265" s="15" t="str">
        <f aca="false">IF(B265="","",IFERROR(INDEX(Achats!$C:$C,MATCH(B265,Achats!$B:$B,0)),"N° inconnu dans Achats"))</f>
        <v/>
      </c>
      <c r="D265" s="15" t="str">
        <f aca="false">IF(B265="","",IFERROR(INDEX(Achats!$F:$F,MATCH(B265,Achats!$B:$B,0)),""))</f>
        <v/>
      </c>
      <c r="E265" s="10"/>
      <c r="F265" s="16"/>
      <c r="G265" s="12"/>
      <c r="H265" s="11"/>
      <c r="I265" s="15" t="str">
        <f aca="false">IF(OR(B265="",E265=""),"",IF(COUNTIFS(Seances!$A:$A,E265,Seances!$B:$B,F265,Seances!$C:$C,D265)=0,"Séance à créer dans Seances","OK"))</f>
        <v/>
      </c>
      <c r="J265" s="11"/>
      <c r="K265" s="11"/>
    </row>
    <row r="266" customFormat="false" ht="15" hidden="false" customHeight="false" outlineLevel="0" collapsed="false">
      <c r="A266" s="10"/>
      <c r="B266" s="11"/>
      <c r="C266" s="15" t="str">
        <f aca="false">IF(B266="","",IFERROR(INDEX(Achats!$C:$C,MATCH(B266,Achats!$B:$B,0)),"N° inconnu dans Achats"))</f>
        <v/>
      </c>
      <c r="D266" s="15" t="str">
        <f aca="false">IF(B266="","",IFERROR(INDEX(Achats!$F:$F,MATCH(B266,Achats!$B:$B,0)),""))</f>
        <v/>
      </c>
      <c r="E266" s="10"/>
      <c r="F266" s="16"/>
      <c r="G266" s="12"/>
      <c r="H266" s="11"/>
      <c r="I266" s="15" t="str">
        <f aca="false">IF(OR(B266="",E266=""),"",IF(COUNTIFS(Seances!$A:$A,E266,Seances!$B:$B,F266,Seances!$C:$C,D266)=0,"Séance à créer dans Seances","OK"))</f>
        <v/>
      </c>
      <c r="J266" s="11"/>
      <c r="K266" s="11"/>
    </row>
    <row r="267" customFormat="false" ht="15" hidden="false" customHeight="false" outlineLevel="0" collapsed="false">
      <c r="A267" s="10"/>
      <c r="B267" s="11"/>
      <c r="C267" s="15" t="str">
        <f aca="false">IF(B267="","",IFERROR(INDEX(Achats!$C:$C,MATCH(B267,Achats!$B:$B,0)),"N° inconnu dans Achats"))</f>
        <v/>
      </c>
      <c r="D267" s="15" t="str">
        <f aca="false">IF(B267="","",IFERROR(INDEX(Achats!$F:$F,MATCH(B267,Achats!$B:$B,0)),""))</f>
        <v/>
      </c>
      <c r="E267" s="10"/>
      <c r="F267" s="16"/>
      <c r="G267" s="12"/>
      <c r="H267" s="11"/>
      <c r="I267" s="15" t="str">
        <f aca="false">IF(OR(B267="",E267=""),"",IF(COUNTIFS(Seances!$A:$A,E267,Seances!$B:$B,F267,Seances!$C:$C,D267)=0,"Séance à créer dans Seances","OK"))</f>
        <v/>
      </c>
      <c r="J267" s="11"/>
      <c r="K267" s="11"/>
    </row>
    <row r="268" customFormat="false" ht="15" hidden="false" customHeight="false" outlineLevel="0" collapsed="false">
      <c r="A268" s="10"/>
      <c r="B268" s="11"/>
      <c r="C268" s="15" t="str">
        <f aca="false">IF(B268="","",IFERROR(INDEX(Achats!$C:$C,MATCH(B268,Achats!$B:$B,0)),"N° inconnu dans Achats"))</f>
        <v/>
      </c>
      <c r="D268" s="15" t="str">
        <f aca="false">IF(B268="","",IFERROR(INDEX(Achats!$F:$F,MATCH(B268,Achats!$B:$B,0)),""))</f>
        <v/>
      </c>
      <c r="E268" s="10"/>
      <c r="F268" s="16"/>
      <c r="G268" s="12"/>
      <c r="H268" s="11"/>
      <c r="I268" s="15" t="str">
        <f aca="false">IF(OR(B268="",E268=""),"",IF(COUNTIFS(Seances!$A:$A,E268,Seances!$B:$B,F268,Seances!$C:$C,D268)=0,"Séance à créer dans Seances","OK"))</f>
        <v/>
      </c>
      <c r="J268" s="11"/>
      <c r="K268" s="11"/>
    </row>
    <row r="269" customFormat="false" ht="15" hidden="false" customHeight="false" outlineLevel="0" collapsed="false">
      <c r="A269" s="10"/>
      <c r="B269" s="11"/>
      <c r="C269" s="15" t="str">
        <f aca="false">IF(B269="","",IFERROR(INDEX(Achats!$C:$C,MATCH(B269,Achats!$B:$B,0)),"N° inconnu dans Achats"))</f>
        <v/>
      </c>
      <c r="D269" s="15" t="str">
        <f aca="false">IF(B269="","",IFERROR(INDEX(Achats!$F:$F,MATCH(B269,Achats!$B:$B,0)),""))</f>
        <v/>
      </c>
      <c r="E269" s="10"/>
      <c r="F269" s="16"/>
      <c r="G269" s="12"/>
      <c r="H269" s="11"/>
      <c r="I269" s="15" t="str">
        <f aca="false">IF(OR(B269="",E269=""),"",IF(COUNTIFS(Seances!$A:$A,E269,Seances!$B:$B,F269,Seances!$C:$C,D269)=0,"Séance à créer dans Seances","OK"))</f>
        <v/>
      </c>
      <c r="J269" s="11"/>
      <c r="K269" s="11"/>
    </row>
    <row r="270" customFormat="false" ht="15" hidden="false" customHeight="false" outlineLevel="0" collapsed="false">
      <c r="A270" s="10"/>
      <c r="B270" s="11"/>
      <c r="C270" s="15" t="str">
        <f aca="false">IF(B270="","",IFERROR(INDEX(Achats!$C:$C,MATCH(B270,Achats!$B:$B,0)),"N° inconnu dans Achats"))</f>
        <v/>
      </c>
      <c r="D270" s="15" t="str">
        <f aca="false">IF(B270="","",IFERROR(INDEX(Achats!$F:$F,MATCH(B270,Achats!$B:$B,0)),""))</f>
        <v/>
      </c>
      <c r="E270" s="10"/>
      <c r="F270" s="16"/>
      <c r="G270" s="12"/>
      <c r="H270" s="11"/>
      <c r="I270" s="15" t="str">
        <f aca="false">IF(OR(B270="",E270=""),"",IF(COUNTIFS(Seances!$A:$A,E270,Seances!$B:$B,F270,Seances!$C:$C,D270)=0,"Séance à créer dans Seances","OK"))</f>
        <v/>
      </c>
      <c r="J270" s="11"/>
      <c r="K270" s="11"/>
    </row>
    <row r="271" customFormat="false" ht="15" hidden="false" customHeight="false" outlineLevel="0" collapsed="false">
      <c r="A271" s="10"/>
      <c r="B271" s="11"/>
      <c r="C271" s="15" t="str">
        <f aca="false">IF(B271="","",IFERROR(INDEX(Achats!$C:$C,MATCH(B271,Achats!$B:$B,0)),"N° inconnu dans Achats"))</f>
        <v/>
      </c>
      <c r="D271" s="15" t="str">
        <f aca="false">IF(B271="","",IFERROR(INDEX(Achats!$F:$F,MATCH(B271,Achats!$B:$B,0)),""))</f>
        <v/>
      </c>
      <c r="E271" s="10"/>
      <c r="F271" s="16"/>
      <c r="G271" s="12"/>
      <c r="H271" s="11"/>
      <c r="I271" s="15" t="str">
        <f aca="false">IF(OR(B271="",E271=""),"",IF(COUNTIFS(Seances!$A:$A,E271,Seances!$B:$B,F271,Seances!$C:$C,D271)=0,"Séance à créer dans Seances","OK"))</f>
        <v/>
      </c>
      <c r="J271" s="11"/>
      <c r="K271" s="11"/>
    </row>
    <row r="272" customFormat="false" ht="15" hidden="false" customHeight="false" outlineLevel="0" collapsed="false">
      <c r="A272" s="10"/>
      <c r="B272" s="11"/>
      <c r="C272" s="15" t="str">
        <f aca="false">IF(B272="","",IFERROR(INDEX(Achats!$C:$C,MATCH(B272,Achats!$B:$B,0)),"N° inconnu dans Achats"))</f>
        <v/>
      </c>
      <c r="D272" s="15" t="str">
        <f aca="false">IF(B272="","",IFERROR(INDEX(Achats!$F:$F,MATCH(B272,Achats!$B:$B,0)),""))</f>
        <v/>
      </c>
      <c r="E272" s="10"/>
      <c r="F272" s="16"/>
      <c r="G272" s="12"/>
      <c r="H272" s="11"/>
      <c r="I272" s="15" t="str">
        <f aca="false">IF(OR(B272="",E272=""),"",IF(COUNTIFS(Seances!$A:$A,E272,Seances!$B:$B,F272,Seances!$C:$C,D272)=0,"Séance à créer dans Seances","OK"))</f>
        <v/>
      </c>
      <c r="J272" s="11"/>
      <c r="K272" s="11"/>
    </row>
    <row r="273" customFormat="false" ht="15" hidden="false" customHeight="false" outlineLevel="0" collapsed="false">
      <c r="A273" s="10"/>
      <c r="B273" s="11"/>
      <c r="C273" s="15" t="str">
        <f aca="false">IF(B273="","",IFERROR(INDEX(Achats!$C:$C,MATCH(B273,Achats!$B:$B,0)),"N° inconnu dans Achats"))</f>
        <v/>
      </c>
      <c r="D273" s="15" t="str">
        <f aca="false">IF(B273="","",IFERROR(INDEX(Achats!$F:$F,MATCH(B273,Achats!$B:$B,0)),""))</f>
        <v/>
      </c>
      <c r="E273" s="10"/>
      <c r="F273" s="16"/>
      <c r="G273" s="12"/>
      <c r="H273" s="11"/>
      <c r="I273" s="15" t="str">
        <f aca="false">IF(OR(B273="",E273=""),"",IF(COUNTIFS(Seances!$A:$A,E273,Seances!$B:$B,F273,Seances!$C:$C,D273)=0,"Séance à créer dans Seances","OK"))</f>
        <v/>
      </c>
      <c r="J273" s="11"/>
      <c r="K273" s="11"/>
    </row>
    <row r="274" customFormat="false" ht="15" hidden="false" customHeight="false" outlineLevel="0" collapsed="false">
      <c r="A274" s="10"/>
      <c r="B274" s="11"/>
      <c r="C274" s="15" t="str">
        <f aca="false">IF(B274="","",IFERROR(INDEX(Achats!$C:$C,MATCH(B274,Achats!$B:$B,0)),"N° inconnu dans Achats"))</f>
        <v/>
      </c>
      <c r="D274" s="15" t="str">
        <f aca="false">IF(B274="","",IFERROR(INDEX(Achats!$F:$F,MATCH(B274,Achats!$B:$B,0)),""))</f>
        <v/>
      </c>
      <c r="E274" s="10"/>
      <c r="F274" s="16"/>
      <c r="G274" s="12"/>
      <c r="H274" s="11"/>
      <c r="I274" s="15" t="str">
        <f aca="false">IF(OR(B274="",E274=""),"",IF(COUNTIFS(Seances!$A:$A,E274,Seances!$B:$B,F274,Seances!$C:$C,D274)=0,"Séance à créer dans Seances","OK"))</f>
        <v/>
      </c>
      <c r="J274" s="11"/>
      <c r="K274" s="11"/>
    </row>
    <row r="275" customFormat="false" ht="15" hidden="false" customHeight="false" outlineLevel="0" collapsed="false">
      <c r="A275" s="10"/>
      <c r="B275" s="11"/>
      <c r="C275" s="15" t="str">
        <f aca="false">IF(B275="","",IFERROR(INDEX(Achats!$C:$C,MATCH(B275,Achats!$B:$B,0)),"N° inconnu dans Achats"))</f>
        <v/>
      </c>
      <c r="D275" s="15" t="str">
        <f aca="false">IF(B275="","",IFERROR(INDEX(Achats!$F:$F,MATCH(B275,Achats!$B:$B,0)),""))</f>
        <v/>
      </c>
      <c r="E275" s="10"/>
      <c r="F275" s="16"/>
      <c r="G275" s="12"/>
      <c r="H275" s="11"/>
      <c r="I275" s="15" t="str">
        <f aca="false">IF(OR(B275="",E275=""),"",IF(COUNTIFS(Seances!$A:$A,E275,Seances!$B:$B,F275,Seances!$C:$C,D275)=0,"Séance à créer dans Seances","OK"))</f>
        <v/>
      </c>
      <c r="J275" s="11"/>
      <c r="K275" s="11"/>
    </row>
    <row r="276" customFormat="false" ht="15" hidden="false" customHeight="false" outlineLevel="0" collapsed="false">
      <c r="A276" s="10"/>
      <c r="B276" s="11"/>
      <c r="C276" s="15" t="str">
        <f aca="false">IF(B276="","",IFERROR(INDEX(Achats!$C:$C,MATCH(B276,Achats!$B:$B,0)),"N° inconnu dans Achats"))</f>
        <v/>
      </c>
      <c r="D276" s="15" t="str">
        <f aca="false">IF(B276="","",IFERROR(INDEX(Achats!$F:$F,MATCH(B276,Achats!$B:$B,0)),""))</f>
        <v/>
      </c>
      <c r="E276" s="10"/>
      <c r="F276" s="16"/>
      <c r="G276" s="12"/>
      <c r="H276" s="11"/>
      <c r="I276" s="15" t="str">
        <f aca="false">IF(OR(B276="",E276=""),"",IF(COUNTIFS(Seances!$A:$A,E276,Seances!$B:$B,F276,Seances!$C:$C,D276)=0,"Séance à créer dans Seances","OK"))</f>
        <v/>
      </c>
      <c r="J276" s="11"/>
      <c r="K276" s="11"/>
    </row>
    <row r="277" customFormat="false" ht="15" hidden="false" customHeight="false" outlineLevel="0" collapsed="false">
      <c r="A277" s="10"/>
      <c r="B277" s="11"/>
      <c r="C277" s="15" t="str">
        <f aca="false">IF(B277="","",IFERROR(INDEX(Achats!$C:$C,MATCH(B277,Achats!$B:$B,0)),"N° inconnu dans Achats"))</f>
        <v/>
      </c>
      <c r="D277" s="15" t="str">
        <f aca="false">IF(B277="","",IFERROR(INDEX(Achats!$F:$F,MATCH(B277,Achats!$B:$B,0)),""))</f>
        <v/>
      </c>
      <c r="E277" s="10"/>
      <c r="F277" s="16"/>
      <c r="G277" s="12"/>
      <c r="H277" s="11"/>
      <c r="I277" s="15" t="str">
        <f aca="false">IF(OR(B277="",E277=""),"",IF(COUNTIFS(Seances!$A:$A,E277,Seances!$B:$B,F277,Seances!$C:$C,D277)=0,"Séance à créer dans Seances","OK"))</f>
        <v/>
      </c>
      <c r="J277" s="11"/>
      <c r="K277" s="11"/>
    </row>
    <row r="278" customFormat="false" ht="15" hidden="false" customHeight="false" outlineLevel="0" collapsed="false">
      <c r="A278" s="10"/>
      <c r="B278" s="11"/>
      <c r="C278" s="15" t="str">
        <f aca="false">IF(B278="","",IFERROR(INDEX(Achats!$C:$C,MATCH(B278,Achats!$B:$B,0)),"N° inconnu dans Achats"))</f>
        <v/>
      </c>
      <c r="D278" s="15" t="str">
        <f aca="false">IF(B278="","",IFERROR(INDEX(Achats!$F:$F,MATCH(B278,Achats!$B:$B,0)),""))</f>
        <v/>
      </c>
      <c r="E278" s="10"/>
      <c r="F278" s="16"/>
      <c r="G278" s="12"/>
      <c r="H278" s="11"/>
      <c r="I278" s="15" t="str">
        <f aca="false">IF(OR(B278="",E278=""),"",IF(COUNTIFS(Seances!$A:$A,E278,Seances!$B:$B,F278,Seances!$C:$C,D278)=0,"Séance à créer dans Seances","OK"))</f>
        <v/>
      </c>
      <c r="J278" s="11"/>
      <c r="K278" s="11"/>
    </row>
    <row r="279" customFormat="false" ht="15" hidden="false" customHeight="false" outlineLevel="0" collapsed="false">
      <c r="A279" s="10"/>
      <c r="B279" s="11"/>
      <c r="C279" s="15" t="str">
        <f aca="false">IF(B279="","",IFERROR(INDEX(Achats!$C:$C,MATCH(B279,Achats!$B:$B,0)),"N° inconnu dans Achats"))</f>
        <v/>
      </c>
      <c r="D279" s="15" t="str">
        <f aca="false">IF(B279="","",IFERROR(INDEX(Achats!$F:$F,MATCH(B279,Achats!$B:$B,0)),""))</f>
        <v/>
      </c>
      <c r="E279" s="10"/>
      <c r="F279" s="16"/>
      <c r="G279" s="12"/>
      <c r="H279" s="11"/>
      <c r="I279" s="15" t="str">
        <f aca="false">IF(OR(B279="",E279=""),"",IF(COUNTIFS(Seances!$A:$A,E279,Seances!$B:$B,F279,Seances!$C:$C,D279)=0,"Séance à créer dans Seances","OK"))</f>
        <v/>
      </c>
      <c r="J279" s="11"/>
      <c r="K279" s="11"/>
    </row>
    <row r="280" customFormat="false" ht="15" hidden="false" customHeight="false" outlineLevel="0" collapsed="false">
      <c r="A280" s="10"/>
      <c r="B280" s="11"/>
      <c r="C280" s="15" t="str">
        <f aca="false">IF(B280="","",IFERROR(INDEX(Achats!$C:$C,MATCH(B280,Achats!$B:$B,0)),"N° inconnu dans Achats"))</f>
        <v/>
      </c>
      <c r="D280" s="15" t="str">
        <f aca="false">IF(B280="","",IFERROR(INDEX(Achats!$F:$F,MATCH(B280,Achats!$B:$B,0)),""))</f>
        <v/>
      </c>
      <c r="E280" s="10"/>
      <c r="F280" s="16"/>
      <c r="G280" s="12"/>
      <c r="H280" s="11"/>
      <c r="I280" s="15" t="str">
        <f aca="false">IF(OR(B280="",E280=""),"",IF(COUNTIFS(Seances!$A:$A,E280,Seances!$B:$B,F280,Seances!$C:$C,D280)=0,"Séance à créer dans Seances","OK"))</f>
        <v/>
      </c>
      <c r="J280" s="11"/>
      <c r="K280" s="11"/>
    </row>
    <row r="281" customFormat="false" ht="15" hidden="false" customHeight="false" outlineLevel="0" collapsed="false">
      <c r="A281" s="10"/>
      <c r="B281" s="11"/>
      <c r="C281" s="15" t="str">
        <f aca="false">IF(B281="","",IFERROR(INDEX(Achats!$C:$C,MATCH(B281,Achats!$B:$B,0)),"N° inconnu dans Achats"))</f>
        <v/>
      </c>
      <c r="D281" s="15" t="str">
        <f aca="false">IF(B281="","",IFERROR(INDEX(Achats!$F:$F,MATCH(B281,Achats!$B:$B,0)),""))</f>
        <v/>
      </c>
      <c r="E281" s="10"/>
      <c r="F281" s="16"/>
      <c r="G281" s="12"/>
      <c r="H281" s="11"/>
      <c r="I281" s="15" t="str">
        <f aca="false">IF(OR(B281="",E281=""),"",IF(COUNTIFS(Seances!$A:$A,E281,Seances!$B:$B,F281,Seances!$C:$C,D281)=0,"Séance à créer dans Seances","OK"))</f>
        <v/>
      </c>
      <c r="J281" s="11"/>
      <c r="K281" s="11"/>
    </row>
    <row r="282" customFormat="false" ht="15" hidden="false" customHeight="false" outlineLevel="0" collapsed="false">
      <c r="A282" s="10"/>
      <c r="B282" s="11"/>
      <c r="C282" s="15" t="str">
        <f aca="false">IF(B282="","",IFERROR(INDEX(Achats!$C:$C,MATCH(B282,Achats!$B:$B,0)),"N° inconnu dans Achats"))</f>
        <v/>
      </c>
      <c r="D282" s="15" t="str">
        <f aca="false">IF(B282="","",IFERROR(INDEX(Achats!$F:$F,MATCH(B282,Achats!$B:$B,0)),""))</f>
        <v/>
      </c>
      <c r="E282" s="10"/>
      <c r="F282" s="16"/>
      <c r="G282" s="12"/>
      <c r="H282" s="11"/>
      <c r="I282" s="15" t="str">
        <f aca="false">IF(OR(B282="",E282=""),"",IF(COUNTIFS(Seances!$A:$A,E282,Seances!$B:$B,F282,Seances!$C:$C,D282)=0,"Séance à créer dans Seances","OK"))</f>
        <v/>
      </c>
      <c r="J282" s="11"/>
      <c r="K282" s="11"/>
    </row>
    <row r="283" customFormat="false" ht="15" hidden="false" customHeight="false" outlineLevel="0" collapsed="false">
      <c r="A283" s="10"/>
      <c r="B283" s="11"/>
      <c r="C283" s="15" t="str">
        <f aca="false">IF(B283="","",IFERROR(INDEX(Achats!$C:$C,MATCH(B283,Achats!$B:$B,0)),"N° inconnu dans Achats"))</f>
        <v/>
      </c>
      <c r="D283" s="15" t="str">
        <f aca="false">IF(B283="","",IFERROR(INDEX(Achats!$F:$F,MATCH(B283,Achats!$B:$B,0)),""))</f>
        <v/>
      </c>
      <c r="E283" s="10"/>
      <c r="F283" s="16"/>
      <c r="G283" s="12"/>
      <c r="H283" s="11"/>
      <c r="I283" s="15" t="str">
        <f aca="false">IF(OR(B283="",E283=""),"",IF(COUNTIFS(Seances!$A:$A,E283,Seances!$B:$B,F283,Seances!$C:$C,D283)=0,"Séance à créer dans Seances","OK"))</f>
        <v/>
      </c>
      <c r="J283" s="11"/>
      <c r="K283" s="11"/>
    </row>
    <row r="284" customFormat="false" ht="15" hidden="false" customHeight="false" outlineLevel="0" collapsed="false">
      <c r="A284" s="10"/>
      <c r="B284" s="11"/>
      <c r="C284" s="15" t="str">
        <f aca="false">IF(B284="","",IFERROR(INDEX(Achats!$C:$C,MATCH(B284,Achats!$B:$B,0)),"N° inconnu dans Achats"))</f>
        <v/>
      </c>
      <c r="D284" s="15" t="str">
        <f aca="false">IF(B284="","",IFERROR(INDEX(Achats!$F:$F,MATCH(B284,Achats!$B:$B,0)),""))</f>
        <v/>
      </c>
      <c r="E284" s="10"/>
      <c r="F284" s="16"/>
      <c r="G284" s="12"/>
      <c r="H284" s="11"/>
      <c r="I284" s="15" t="str">
        <f aca="false">IF(OR(B284="",E284=""),"",IF(COUNTIFS(Seances!$A:$A,E284,Seances!$B:$B,F284,Seances!$C:$C,D284)=0,"Séance à créer dans Seances","OK"))</f>
        <v/>
      </c>
      <c r="J284" s="11"/>
      <c r="K284" s="11"/>
    </row>
    <row r="285" customFormat="false" ht="15" hidden="false" customHeight="false" outlineLevel="0" collapsed="false">
      <c r="A285" s="10"/>
      <c r="B285" s="11"/>
      <c r="C285" s="15" t="str">
        <f aca="false">IF(B285="","",IFERROR(INDEX(Achats!$C:$C,MATCH(B285,Achats!$B:$B,0)),"N° inconnu dans Achats"))</f>
        <v/>
      </c>
      <c r="D285" s="15" t="str">
        <f aca="false">IF(B285="","",IFERROR(INDEX(Achats!$F:$F,MATCH(B285,Achats!$B:$B,0)),""))</f>
        <v/>
      </c>
      <c r="E285" s="10"/>
      <c r="F285" s="16"/>
      <c r="G285" s="12"/>
      <c r="H285" s="11"/>
      <c r="I285" s="15" t="str">
        <f aca="false">IF(OR(B285="",E285=""),"",IF(COUNTIFS(Seances!$A:$A,E285,Seances!$B:$B,F285,Seances!$C:$C,D285)=0,"Séance à créer dans Seances","OK"))</f>
        <v/>
      </c>
      <c r="J285" s="11"/>
      <c r="K285" s="11"/>
    </row>
    <row r="286" customFormat="false" ht="15" hidden="false" customHeight="false" outlineLevel="0" collapsed="false">
      <c r="A286" s="10"/>
      <c r="B286" s="11"/>
      <c r="C286" s="15" t="str">
        <f aca="false">IF(B286="","",IFERROR(INDEX(Achats!$C:$C,MATCH(B286,Achats!$B:$B,0)),"N° inconnu dans Achats"))</f>
        <v/>
      </c>
      <c r="D286" s="15" t="str">
        <f aca="false">IF(B286="","",IFERROR(INDEX(Achats!$F:$F,MATCH(B286,Achats!$B:$B,0)),""))</f>
        <v/>
      </c>
      <c r="E286" s="10"/>
      <c r="F286" s="16"/>
      <c r="G286" s="12"/>
      <c r="H286" s="11"/>
      <c r="I286" s="15" t="str">
        <f aca="false">IF(OR(B286="",E286=""),"",IF(COUNTIFS(Seances!$A:$A,E286,Seances!$B:$B,F286,Seances!$C:$C,D286)=0,"Séance à créer dans Seances","OK"))</f>
        <v/>
      </c>
      <c r="J286" s="11"/>
      <c r="K286" s="11"/>
    </row>
    <row r="287" customFormat="false" ht="15" hidden="false" customHeight="false" outlineLevel="0" collapsed="false">
      <c r="A287" s="10"/>
      <c r="B287" s="11"/>
      <c r="C287" s="15" t="str">
        <f aca="false">IF(B287="","",IFERROR(INDEX(Achats!$C:$C,MATCH(B287,Achats!$B:$B,0)),"N° inconnu dans Achats"))</f>
        <v/>
      </c>
      <c r="D287" s="15" t="str">
        <f aca="false">IF(B287="","",IFERROR(INDEX(Achats!$F:$F,MATCH(B287,Achats!$B:$B,0)),""))</f>
        <v/>
      </c>
      <c r="E287" s="10"/>
      <c r="F287" s="16"/>
      <c r="G287" s="12"/>
      <c r="H287" s="11"/>
      <c r="I287" s="15" t="str">
        <f aca="false">IF(OR(B287="",E287=""),"",IF(COUNTIFS(Seances!$A:$A,E287,Seances!$B:$B,F287,Seances!$C:$C,D287)=0,"Séance à créer dans Seances","OK"))</f>
        <v/>
      </c>
      <c r="J287" s="11"/>
      <c r="K287" s="11"/>
    </row>
    <row r="288" customFormat="false" ht="15" hidden="false" customHeight="false" outlineLevel="0" collapsed="false">
      <c r="A288" s="10"/>
      <c r="B288" s="11"/>
      <c r="C288" s="15" t="str">
        <f aca="false">IF(B288="","",IFERROR(INDEX(Achats!$C:$C,MATCH(B288,Achats!$B:$B,0)),"N° inconnu dans Achats"))</f>
        <v/>
      </c>
      <c r="D288" s="15" t="str">
        <f aca="false">IF(B288="","",IFERROR(INDEX(Achats!$F:$F,MATCH(B288,Achats!$B:$B,0)),""))</f>
        <v/>
      </c>
      <c r="E288" s="10"/>
      <c r="F288" s="16"/>
      <c r="G288" s="12"/>
      <c r="H288" s="11"/>
      <c r="I288" s="15" t="str">
        <f aca="false">IF(OR(B288="",E288=""),"",IF(COUNTIFS(Seances!$A:$A,E288,Seances!$B:$B,F288,Seances!$C:$C,D288)=0,"Séance à créer dans Seances","OK"))</f>
        <v/>
      </c>
      <c r="J288" s="11"/>
      <c r="K288" s="11"/>
    </row>
    <row r="289" customFormat="false" ht="15" hidden="false" customHeight="false" outlineLevel="0" collapsed="false">
      <c r="A289" s="10"/>
      <c r="B289" s="11"/>
      <c r="C289" s="15" t="str">
        <f aca="false">IF(B289="","",IFERROR(INDEX(Achats!$C:$C,MATCH(B289,Achats!$B:$B,0)),"N° inconnu dans Achats"))</f>
        <v/>
      </c>
      <c r="D289" s="15" t="str">
        <f aca="false">IF(B289="","",IFERROR(INDEX(Achats!$F:$F,MATCH(B289,Achats!$B:$B,0)),""))</f>
        <v/>
      </c>
      <c r="E289" s="10"/>
      <c r="F289" s="16"/>
      <c r="G289" s="12"/>
      <c r="H289" s="11"/>
      <c r="I289" s="15" t="str">
        <f aca="false">IF(OR(B289="",E289=""),"",IF(COUNTIFS(Seances!$A:$A,E289,Seances!$B:$B,F289,Seances!$C:$C,D289)=0,"Séance à créer dans Seances","OK"))</f>
        <v/>
      </c>
      <c r="J289" s="11"/>
      <c r="K289" s="11"/>
    </row>
    <row r="290" customFormat="false" ht="15" hidden="false" customHeight="false" outlineLevel="0" collapsed="false">
      <c r="A290" s="10"/>
      <c r="B290" s="11"/>
      <c r="C290" s="15" t="str">
        <f aca="false">IF(B290="","",IFERROR(INDEX(Achats!$C:$C,MATCH(B290,Achats!$B:$B,0)),"N° inconnu dans Achats"))</f>
        <v/>
      </c>
      <c r="D290" s="15" t="str">
        <f aca="false">IF(B290="","",IFERROR(INDEX(Achats!$F:$F,MATCH(B290,Achats!$B:$B,0)),""))</f>
        <v/>
      </c>
      <c r="E290" s="10"/>
      <c r="F290" s="16"/>
      <c r="G290" s="12"/>
      <c r="H290" s="11"/>
      <c r="I290" s="15" t="str">
        <f aca="false">IF(OR(B290="",E290=""),"",IF(COUNTIFS(Seances!$A:$A,E290,Seances!$B:$B,F290,Seances!$C:$C,D290)=0,"Séance à créer dans Seances","OK"))</f>
        <v/>
      </c>
      <c r="J290" s="11"/>
      <c r="K290" s="11"/>
    </row>
    <row r="291" customFormat="false" ht="15" hidden="false" customHeight="false" outlineLevel="0" collapsed="false">
      <c r="A291" s="10"/>
      <c r="B291" s="11"/>
      <c r="C291" s="15" t="str">
        <f aca="false">IF(B291="","",IFERROR(INDEX(Achats!$C:$C,MATCH(B291,Achats!$B:$B,0)),"N° inconnu dans Achats"))</f>
        <v/>
      </c>
      <c r="D291" s="15" t="str">
        <f aca="false">IF(B291="","",IFERROR(INDEX(Achats!$F:$F,MATCH(B291,Achats!$B:$B,0)),""))</f>
        <v/>
      </c>
      <c r="E291" s="10"/>
      <c r="F291" s="16"/>
      <c r="G291" s="12"/>
      <c r="H291" s="11"/>
      <c r="I291" s="15" t="str">
        <f aca="false">IF(OR(B291="",E291=""),"",IF(COUNTIFS(Seances!$A:$A,E291,Seances!$B:$B,F291,Seances!$C:$C,D291)=0,"Séance à créer dans Seances","OK"))</f>
        <v/>
      </c>
      <c r="J291" s="11"/>
      <c r="K291" s="11"/>
    </row>
    <row r="292" customFormat="false" ht="15" hidden="false" customHeight="false" outlineLevel="0" collapsed="false">
      <c r="A292" s="10"/>
      <c r="B292" s="11"/>
      <c r="C292" s="15" t="str">
        <f aca="false">IF(B292="","",IFERROR(INDEX(Achats!$C:$C,MATCH(B292,Achats!$B:$B,0)),"N° inconnu dans Achats"))</f>
        <v/>
      </c>
      <c r="D292" s="15" t="str">
        <f aca="false">IF(B292="","",IFERROR(INDEX(Achats!$F:$F,MATCH(B292,Achats!$B:$B,0)),""))</f>
        <v/>
      </c>
      <c r="E292" s="10"/>
      <c r="F292" s="16"/>
      <c r="G292" s="12"/>
      <c r="H292" s="11"/>
      <c r="I292" s="15" t="str">
        <f aca="false">IF(OR(B292="",E292=""),"",IF(COUNTIFS(Seances!$A:$A,E292,Seances!$B:$B,F292,Seances!$C:$C,D292)=0,"Séance à créer dans Seances","OK"))</f>
        <v/>
      </c>
      <c r="J292" s="11"/>
      <c r="K292" s="11"/>
    </row>
    <row r="293" customFormat="false" ht="15" hidden="false" customHeight="false" outlineLevel="0" collapsed="false">
      <c r="A293" s="10"/>
      <c r="B293" s="11"/>
      <c r="C293" s="15" t="str">
        <f aca="false">IF(B293="","",IFERROR(INDEX(Achats!$C:$C,MATCH(B293,Achats!$B:$B,0)),"N° inconnu dans Achats"))</f>
        <v/>
      </c>
      <c r="D293" s="15" t="str">
        <f aca="false">IF(B293="","",IFERROR(INDEX(Achats!$F:$F,MATCH(B293,Achats!$B:$B,0)),""))</f>
        <v/>
      </c>
      <c r="E293" s="10"/>
      <c r="F293" s="16"/>
      <c r="G293" s="12"/>
      <c r="H293" s="11"/>
      <c r="I293" s="15" t="str">
        <f aca="false">IF(OR(B293="",E293=""),"",IF(COUNTIFS(Seances!$A:$A,E293,Seances!$B:$B,F293,Seances!$C:$C,D293)=0,"Séance à créer dans Seances","OK"))</f>
        <v/>
      </c>
      <c r="J293" s="11"/>
      <c r="K293" s="11"/>
    </row>
    <row r="294" customFormat="false" ht="15" hidden="false" customHeight="false" outlineLevel="0" collapsed="false">
      <c r="A294" s="10"/>
      <c r="B294" s="11"/>
      <c r="C294" s="15" t="str">
        <f aca="false">IF(B294="","",IFERROR(INDEX(Achats!$C:$C,MATCH(B294,Achats!$B:$B,0)),"N° inconnu dans Achats"))</f>
        <v/>
      </c>
      <c r="D294" s="15" t="str">
        <f aca="false">IF(B294="","",IFERROR(INDEX(Achats!$F:$F,MATCH(B294,Achats!$B:$B,0)),""))</f>
        <v/>
      </c>
      <c r="E294" s="10"/>
      <c r="F294" s="16"/>
      <c r="G294" s="12"/>
      <c r="H294" s="11"/>
      <c r="I294" s="15" t="str">
        <f aca="false">IF(OR(B294="",E294=""),"",IF(COUNTIFS(Seances!$A:$A,E294,Seances!$B:$B,F294,Seances!$C:$C,D294)=0,"Séance à créer dans Seances","OK"))</f>
        <v/>
      </c>
      <c r="J294" s="11"/>
      <c r="K294" s="11"/>
    </row>
    <row r="295" customFormat="false" ht="15" hidden="false" customHeight="false" outlineLevel="0" collapsed="false">
      <c r="A295" s="10"/>
      <c r="B295" s="11"/>
      <c r="C295" s="15" t="str">
        <f aca="false">IF(B295="","",IFERROR(INDEX(Achats!$C:$C,MATCH(B295,Achats!$B:$B,0)),"N° inconnu dans Achats"))</f>
        <v/>
      </c>
      <c r="D295" s="15" t="str">
        <f aca="false">IF(B295="","",IFERROR(INDEX(Achats!$F:$F,MATCH(B295,Achats!$B:$B,0)),""))</f>
        <v/>
      </c>
      <c r="E295" s="10"/>
      <c r="F295" s="16"/>
      <c r="G295" s="12"/>
      <c r="H295" s="11"/>
      <c r="I295" s="15" t="str">
        <f aca="false">IF(OR(B295="",E295=""),"",IF(COUNTIFS(Seances!$A:$A,E295,Seances!$B:$B,F295,Seances!$C:$C,D295)=0,"Séance à créer dans Seances","OK"))</f>
        <v/>
      </c>
      <c r="J295" s="11"/>
      <c r="K295" s="11"/>
    </row>
    <row r="296" customFormat="false" ht="15" hidden="false" customHeight="false" outlineLevel="0" collapsed="false">
      <c r="A296" s="10"/>
      <c r="B296" s="11"/>
      <c r="C296" s="15" t="str">
        <f aca="false">IF(B296="","",IFERROR(INDEX(Achats!$C:$C,MATCH(B296,Achats!$B:$B,0)),"N° inconnu dans Achats"))</f>
        <v/>
      </c>
      <c r="D296" s="15" t="str">
        <f aca="false">IF(B296="","",IFERROR(INDEX(Achats!$F:$F,MATCH(B296,Achats!$B:$B,0)),""))</f>
        <v/>
      </c>
      <c r="E296" s="10"/>
      <c r="F296" s="16"/>
      <c r="G296" s="12"/>
      <c r="H296" s="11"/>
      <c r="I296" s="15" t="str">
        <f aca="false">IF(OR(B296="",E296=""),"",IF(COUNTIFS(Seances!$A:$A,E296,Seances!$B:$B,F296,Seances!$C:$C,D296)=0,"Séance à créer dans Seances","OK"))</f>
        <v/>
      </c>
      <c r="J296" s="11"/>
      <c r="K296" s="11"/>
    </row>
    <row r="297" customFormat="false" ht="15" hidden="false" customHeight="false" outlineLevel="0" collapsed="false">
      <c r="A297" s="10"/>
      <c r="B297" s="11"/>
      <c r="C297" s="15" t="str">
        <f aca="false">IF(B297="","",IFERROR(INDEX(Achats!$C:$C,MATCH(B297,Achats!$B:$B,0)),"N° inconnu dans Achats"))</f>
        <v/>
      </c>
      <c r="D297" s="15" t="str">
        <f aca="false">IF(B297="","",IFERROR(INDEX(Achats!$F:$F,MATCH(B297,Achats!$B:$B,0)),""))</f>
        <v/>
      </c>
      <c r="E297" s="10"/>
      <c r="F297" s="16"/>
      <c r="G297" s="12"/>
      <c r="H297" s="11"/>
      <c r="I297" s="15" t="str">
        <f aca="false">IF(OR(B297="",E297=""),"",IF(COUNTIFS(Seances!$A:$A,E297,Seances!$B:$B,F297,Seances!$C:$C,D297)=0,"Séance à créer dans Seances","OK"))</f>
        <v/>
      </c>
      <c r="J297" s="11"/>
      <c r="K297" s="11"/>
    </row>
    <row r="298" customFormat="false" ht="15" hidden="false" customHeight="false" outlineLevel="0" collapsed="false">
      <c r="A298" s="10"/>
      <c r="B298" s="11"/>
      <c r="C298" s="15" t="str">
        <f aca="false">IF(B298="","",IFERROR(INDEX(Achats!$C:$C,MATCH(B298,Achats!$B:$B,0)),"N° inconnu dans Achats"))</f>
        <v/>
      </c>
      <c r="D298" s="15" t="str">
        <f aca="false">IF(B298="","",IFERROR(INDEX(Achats!$F:$F,MATCH(B298,Achats!$B:$B,0)),""))</f>
        <v/>
      </c>
      <c r="E298" s="10"/>
      <c r="F298" s="16"/>
      <c r="G298" s="12"/>
      <c r="H298" s="11"/>
      <c r="I298" s="15" t="str">
        <f aca="false">IF(OR(B298="",E298=""),"",IF(COUNTIFS(Seances!$A:$A,E298,Seances!$B:$B,F298,Seances!$C:$C,D298)=0,"Séance à créer dans Seances","OK"))</f>
        <v/>
      </c>
      <c r="J298" s="11"/>
      <c r="K298" s="11"/>
    </row>
    <row r="299" customFormat="false" ht="15" hidden="false" customHeight="false" outlineLevel="0" collapsed="false">
      <c r="A299" s="10"/>
      <c r="B299" s="11"/>
      <c r="C299" s="15" t="str">
        <f aca="false">IF(B299="","",IFERROR(INDEX(Achats!$C:$C,MATCH(B299,Achats!$B:$B,0)),"N° inconnu dans Achats"))</f>
        <v/>
      </c>
      <c r="D299" s="15" t="str">
        <f aca="false">IF(B299="","",IFERROR(INDEX(Achats!$F:$F,MATCH(B299,Achats!$B:$B,0)),""))</f>
        <v/>
      </c>
      <c r="E299" s="10"/>
      <c r="F299" s="16"/>
      <c r="G299" s="12"/>
      <c r="H299" s="11"/>
      <c r="I299" s="15" t="str">
        <f aca="false">IF(OR(B299="",E299=""),"",IF(COUNTIFS(Seances!$A:$A,E299,Seances!$B:$B,F299,Seances!$C:$C,D299)=0,"Séance à créer dans Seances","OK"))</f>
        <v/>
      </c>
      <c r="J299" s="11"/>
      <c r="K299" s="11"/>
    </row>
    <row r="300" customFormat="false" ht="15" hidden="false" customHeight="false" outlineLevel="0" collapsed="false">
      <c r="A300" s="10"/>
      <c r="B300" s="11"/>
      <c r="C300" s="15" t="str">
        <f aca="false">IF(B300="","",IFERROR(INDEX(Achats!$C:$C,MATCH(B300,Achats!$B:$B,0)),"N° inconnu dans Achats"))</f>
        <v/>
      </c>
      <c r="D300" s="15" t="str">
        <f aca="false">IF(B300="","",IFERROR(INDEX(Achats!$F:$F,MATCH(B300,Achats!$B:$B,0)),""))</f>
        <v/>
      </c>
      <c r="E300" s="10"/>
      <c r="F300" s="16"/>
      <c r="G300" s="12"/>
      <c r="H300" s="11"/>
      <c r="I300" s="15" t="str">
        <f aca="false">IF(OR(B300="",E300=""),"",IF(COUNTIFS(Seances!$A:$A,E300,Seances!$B:$B,F300,Seances!$C:$C,D300)=0,"Séance à créer dans Seances","OK"))</f>
        <v/>
      </c>
      <c r="J300" s="11"/>
      <c r="K300" s="11"/>
    </row>
    <row r="301" customFormat="false" ht="15" hidden="false" customHeight="false" outlineLevel="0" collapsed="false">
      <c r="A301" s="10"/>
      <c r="B301" s="11"/>
      <c r="C301" s="15" t="str">
        <f aca="false">IF(B301="","",IFERROR(INDEX(Achats!$C:$C,MATCH(B301,Achats!$B:$B,0)),"N° inconnu dans Achats"))</f>
        <v/>
      </c>
      <c r="D301" s="15" t="str">
        <f aca="false">IF(B301="","",IFERROR(INDEX(Achats!$F:$F,MATCH(B301,Achats!$B:$B,0)),""))</f>
        <v/>
      </c>
      <c r="E301" s="10"/>
      <c r="F301" s="16"/>
      <c r="G301" s="12"/>
      <c r="H301" s="11"/>
      <c r="I301" s="15" t="str">
        <f aca="false">IF(OR(B301="",E301=""),"",IF(COUNTIFS(Seances!$A:$A,E301,Seances!$B:$B,F301,Seances!$C:$C,D301)=0,"Séance à créer dans Seances","OK"))</f>
        <v/>
      </c>
      <c r="J301" s="11"/>
      <c r="K301" s="11"/>
    </row>
  </sheetData>
  <autoFilter ref="A1:K301"/>
  <conditionalFormatting sqref="I2:I301">
    <cfRule type="expression" priority="2" aboveAverage="0" equalAverage="0" bottom="0" percent="0" rank="0" text="" dxfId="9">
      <formula>AND($I2&lt;&gt;"",$I2&lt;&gt;"OK")</formula>
    </cfRule>
  </conditionalFormatting>
  <dataValidations count="1">
    <dataValidation allowBlank="true" errorStyle="stop" operator="between" showDropDown="false" showErrorMessage="false" showInputMessage="false" sqref="K2:K301" type="list">
      <formula1>"Téléphone,E-mail,Message,En boutique"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2026-10-14T12:56:01Z</dcterms:created>
  <dc:creator>openpyxl</dc:creator>
  <dc:description/>
  <dc:language>en-US</dc:language>
  <cp:lastModifiedBy/>
  <dcterms:modified xsi:type="dcterms:W3CDTF">2026-10-14T12:56:02Z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